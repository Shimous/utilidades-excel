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mc:AlternateContent xmlns:mc="http://schemas.openxmlformats.org/markup-compatibility/2006">
    <mc:Choice Requires="x15">
      <x15ac:absPath xmlns:x15ac="http://schemas.microsoft.com/office/spreadsheetml/2010/11/ac" url="\\192.168.1.19\Dados\Arquivos\ENGENHARIA\23. Equipe\Pedro\ENGENHARIA INDUSTRIAL\SOLICITAÇÕES DE COMPRAS\"/>
    </mc:Choice>
  </mc:AlternateContent>
  <bookViews>
    <workbookView xWindow="0" yWindow="0" windowWidth="16815" windowHeight="7905"/>
  </bookViews>
  <sheets>
    <sheet name="Pedidos de compra" sheetId="5" r:id="rId1"/>
    <sheet name="Solic 21" sheetId="10" r:id="rId2"/>
    <sheet name="Peças National" sheetId="7" r:id="rId3"/>
    <sheet name="Peças Helerman" sheetId="9" r:id="rId4"/>
  </sheets>
  <definedNames>
    <definedName name="Taxa_de_importação_real" localSheetId="3">'Peças Helerman'!$H$9</definedName>
    <definedName name="Taxa_de_importação_real">'Peças National'!$H$18</definedName>
    <definedName name="Taxa_import_dolar" localSheetId="3">'Peças Helerman'!$G$9</definedName>
    <definedName name="Taxa_import_dolar">'Peças National'!$G$18</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35" i="5" l="1"/>
  <c r="M35" i="5"/>
  <c r="A10" i="5"/>
  <c r="A11" i="5"/>
  <c r="A12" i="5"/>
  <c r="A13" i="5"/>
  <c r="A14" i="5"/>
  <c r="A15" i="5"/>
  <c r="A16" i="5"/>
  <c r="A17" i="5"/>
  <c r="A18" i="5"/>
  <c r="A19" i="5"/>
  <c r="A20" i="5"/>
  <c r="A21" i="5"/>
  <c r="A22" i="5"/>
  <c r="A23" i="5"/>
  <c r="A24" i="5"/>
  <c r="A25" i="5"/>
  <c r="A26" i="5"/>
  <c r="A27" i="5"/>
  <c r="A28" i="5"/>
  <c r="A29" i="5"/>
  <c r="A30" i="5"/>
  <c r="A31" i="5"/>
  <c r="A32" i="5"/>
  <c r="A33" i="5"/>
  <c r="A34" i="5"/>
  <c r="A9" i="5"/>
  <c r="M25" i="5" l="1"/>
  <c r="M9" i="5" l="1"/>
  <c r="M10" i="5"/>
  <c r="M11" i="5"/>
  <c r="M12" i="5"/>
  <c r="M13" i="5"/>
  <c r="M14" i="5"/>
  <c r="M15" i="5"/>
  <c r="M16" i="5"/>
  <c r="M17" i="5"/>
  <c r="M18" i="5"/>
  <c r="M19" i="5"/>
  <c r="J20" i="5"/>
  <c r="M20" i="5" s="1"/>
  <c r="M21" i="5"/>
  <c r="M22" i="5"/>
  <c r="M23" i="5"/>
  <c r="M24" i="5"/>
  <c r="M26" i="5"/>
  <c r="M27" i="5"/>
  <c r="M28" i="5"/>
  <c r="M29" i="5"/>
  <c r="M30" i="5"/>
  <c r="M31" i="5"/>
  <c r="M32" i="5"/>
  <c r="M33" i="5"/>
  <c r="M34" i="5"/>
  <c r="G7" i="9" l="1"/>
  <c r="H7" i="9" s="1"/>
  <c r="G6" i="9"/>
  <c r="H6" i="9" s="1"/>
  <c r="G5" i="9"/>
  <c r="H5" i="9" s="1"/>
  <c r="D13" i="9"/>
  <c r="H8" i="9" l="1"/>
  <c r="G8" i="9"/>
  <c r="G9" i="9" s="1"/>
  <c r="G10" i="9" s="1"/>
  <c r="G16" i="7"/>
  <c r="H16" i="7" s="1"/>
  <c r="G15" i="7"/>
  <c r="H15" i="7" s="1"/>
  <c r="G14" i="7"/>
  <c r="H14" i="7" s="1"/>
  <c r="H9" i="7"/>
  <c r="H8" i="7"/>
  <c r="H7" i="7"/>
  <c r="H6" i="7"/>
  <c r="H5" i="7"/>
  <c r="H10" i="7" l="1"/>
  <c r="D22" i="7" s="1"/>
  <c r="D14" i="9"/>
  <c r="H9" i="9"/>
  <c r="G17" i="7"/>
  <c r="H17" i="7"/>
  <c r="D23" i="7" s="1"/>
  <c r="D15" i="9" l="1"/>
  <c r="D16" i="9" s="1"/>
  <c r="H10" i="9"/>
  <c r="G18" i="7"/>
  <c r="G19" i="7" s="1"/>
  <c r="H18" i="7"/>
  <c r="D25" i="7"/>
  <c r="H19" i="7" l="1"/>
  <c r="D24" i="7"/>
</calcChain>
</file>

<file path=xl/sharedStrings.xml><?xml version="1.0" encoding="utf-8"?>
<sst xmlns="http://schemas.openxmlformats.org/spreadsheetml/2006/main" count="369" uniqueCount="206">
  <si>
    <t>Esboço</t>
  </si>
  <si>
    <t>pc</t>
  </si>
  <si>
    <t>Cunha do bloco da matriz</t>
  </si>
  <si>
    <t>013446UC</t>
  </si>
  <si>
    <t>013445UC</t>
  </si>
  <si>
    <t>Eixo suporte de garra superior</t>
  </si>
  <si>
    <t>013448UC</t>
  </si>
  <si>
    <t>Bloco da matriz (conj.)</t>
  </si>
  <si>
    <t>013444UC</t>
  </si>
  <si>
    <t>Eixo suporte de garra</t>
  </si>
  <si>
    <t>013447UC</t>
  </si>
  <si>
    <t>Valor Total</t>
  </si>
  <si>
    <t>Valor UN</t>
  </si>
  <si>
    <t>UN</t>
  </si>
  <si>
    <t>QTD</t>
  </si>
  <si>
    <t>Descrição</t>
  </si>
  <si>
    <t>item</t>
  </si>
  <si>
    <t>Chave</t>
  </si>
  <si>
    <t>Nº Solicitação</t>
  </si>
  <si>
    <t>010221UC</t>
  </si>
  <si>
    <t>Observações</t>
  </si>
  <si>
    <t>Itens</t>
  </si>
  <si>
    <t>Status</t>
  </si>
  <si>
    <t>Aprovado</t>
  </si>
  <si>
    <t>Aberto</t>
  </si>
  <si>
    <t>REDUTOR 204L CHUN ZU - Solicitante Pedro</t>
  </si>
  <si>
    <t>TUBOS DE DESCARTE DO BLANK - Solicitante Pedro</t>
  </si>
  <si>
    <t>FERMAM - ITENS NATIONAL ORÇAMENTO 21966-0322</t>
  </si>
  <si>
    <t>FERMAM - ITENS NATIONAL ORÇAMENTO 21965-0322</t>
  </si>
  <si>
    <t>NATIONAL - PLACA DE CENTRAGEM DE PINÇAS - Solicitante Pedro</t>
  </si>
  <si>
    <t>013449UC</t>
  </si>
  <si>
    <t>000509AT</t>
  </si>
  <si>
    <t>011257UC</t>
  </si>
  <si>
    <t>013380UC</t>
  </si>
  <si>
    <t>SERVIÇO DE REFORMA HOT FORM NATIONAL - MECANICOS MARCIO E HELIO</t>
  </si>
  <si>
    <t>008258FE</t>
  </si>
  <si>
    <t>Enviar</t>
  </si>
  <si>
    <t>Data da solicitação</t>
  </si>
  <si>
    <t>Data da necessidade</t>
  </si>
  <si>
    <t>Data prevista</t>
  </si>
  <si>
    <t>Data da entrega</t>
  </si>
  <si>
    <t>ID</t>
  </si>
  <si>
    <t>Solicitação já enviada à compras</t>
  </si>
  <si>
    <t>Ainda não foi solicitada a aprovação ao gestor</t>
  </si>
  <si>
    <t>JMI - SUPORTE DO DESTACADOR - Solicitante Pedro</t>
  </si>
  <si>
    <t>Foi aprovado pelo gestor</t>
  </si>
  <si>
    <t>Pendente</t>
  </si>
  <si>
    <t>Aguardando aprovação do gestor</t>
  </si>
  <si>
    <t>COMPRESSOR DE PARAFUSO SCHULZ - SOLICITANTE PEDRO</t>
  </si>
  <si>
    <t>Total U$</t>
  </si>
  <si>
    <t>Total R$</t>
  </si>
  <si>
    <t>Cotação Dólar</t>
  </si>
  <si>
    <t>R$</t>
  </si>
  <si>
    <t>Data</t>
  </si>
  <si>
    <t>Placa de centragem das pinças</t>
  </si>
  <si>
    <t xml:space="preserve">011316UC </t>
  </si>
  <si>
    <t>Engrenagem interna da embreagem</t>
  </si>
  <si>
    <t xml:space="preserve">011317UC </t>
  </si>
  <si>
    <t>Disco da embreagem</t>
  </si>
  <si>
    <t>Valores para compra dos itens da HOT-FORM National</t>
  </si>
  <si>
    <t>Placa de choque do bloco da matriz</t>
  </si>
  <si>
    <t>013452UC</t>
  </si>
  <si>
    <t>ELEVHAR - BALANCIM DE ELEVAÇÃO DE CARGA - Solicitante Pedro</t>
  </si>
  <si>
    <t>NATIONAL - EMBREAGEM HOT-FORM - Solicitante Pedro</t>
  </si>
  <si>
    <t>EIXO SUPORTE DE GARRA /
EIXO SUPORTE DE GARRA SUPERIOR</t>
  </si>
  <si>
    <t>PLACA DE CENTRAGEM DE PINÇAS - HOT FORMER-39659</t>
  </si>
  <si>
    <t>REDUTOR E171-1 (CTA-F 100-155 1/600)</t>
  </si>
  <si>
    <t>BLOCO DA MATRIZ (CONJ)/
PLACA DE CHOQUE DO BLOCO DA MATRIZ/
CUNHA DO BLOCO DA MATRIZ</t>
  </si>
  <si>
    <t>TUBO DE DESCARTE DO BLANK</t>
  </si>
  <si>
    <t>SERVIÇO</t>
  </si>
  <si>
    <t>SUPORTE DO DESTACADOR</t>
  </si>
  <si>
    <t>ENGRENAGEM INTERNA DA EMBREAGEM EM FURO Ø 6,5” (165,15 mm)/
DISCO DA EMBREAGEM</t>
  </si>
  <si>
    <t>BALANCIM DE ELEVAÇÃO DE CARGA BTE-3T X 2M</t>
  </si>
  <si>
    <t>COMPRESSOR DE PARAFUSO SCHULZ SRP 4050E AD 50HP - 9 BAR</t>
  </si>
  <si>
    <t>Finalizado</t>
  </si>
  <si>
    <t>Solicitação finalizada e recebida</t>
  </si>
  <si>
    <t>Valor total (U$)</t>
  </si>
  <si>
    <t>Valor total (R$)</t>
  </si>
  <si>
    <t>011316UC
011317UC</t>
  </si>
  <si>
    <t>013444UC
013445UC
013446UC</t>
  </si>
  <si>
    <t>013447UC
013448UC</t>
  </si>
  <si>
    <t>VÁLVULA DE SEGURANÇA PARA PRENSA - TN42, 1/2" BSP
CONECTOR ELÉTRICO TRANSPARENTE COM LED SEM SUPRESSOR
CHAVES DE SEGURANÇA COM BLOQUEIO POR SOLENOIDE</t>
  </si>
  <si>
    <t>011363UC 
011364UC
011366UC</t>
  </si>
  <si>
    <t>Itens Nacionais</t>
  </si>
  <si>
    <t>Itens Importados</t>
  </si>
  <si>
    <t>VÁLVULAS SOLENOIDES - HELERMAN - Solicitante Pedro</t>
  </si>
  <si>
    <t>Solic. Aprovada sem autorização do gerente</t>
  </si>
  <si>
    <t>TOTAL ITENS NACIONAIS</t>
  </si>
  <si>
    <t>TOTAL ITENS IMPORTADOS</t>
  </si>
  <si>
    <t>Taxa de importação estimada</t>
  </si>
  <si>
    <r>
      <t xml:space="preserve">Soma de valores dos itens </t>
    </r>
    <r>
      <rPr>
        <b/>
        <i/>
        <u/>
        <sz val="16"/>
        <color theme="8"/>
        <rFont val="Calibri"/>
        <family val="2"/>
        <scheme val="minor"/>
      </rPr>
      <t>NACIONAIS</t>
    </r>
    <r>
      <rPr>
        <b/>
        <i/>
        <u/>
        <sz val="16"/>
        <rFont val="Calibri"/>
        <family val="2"/>
        <scheme val="minor"/>
      </rPr>
      <t xml:space="preserve"> e </t>
    </r>
    <r>
      <rPr>
        <b/>
        <i/>
        <u/>
        <sz val="16"/>
        <color theme="9" tint="-0.249977111117893"/>
        <rFont val="Calibri"/>
        <family val="2"/>
        <scheme val="minor"/>
      </rPr>
      <t>IMPORTADOS</t>
    </r>
  </si>
  <si>
    <t>Total com taxa de importação</t>
  </si>
  <si>
    <t>Total itens Importados</t>
  </si>
  <si>
    <t>Total dos Itens Nacionais</t>
  </si>
  <si>
    <t>TAXA DE IMPORTAÇÃO SOBRE ITENS IMPORTADOS</t>
  </si>
  <si>
    <t xml:space="preserve">TOTAL </t>
  </si>
  <si>
    <t>SERVIÇO DE PINTURA - Solicitante Pedro</t>
  </si>
  <si>
    <t>Colunas1</t>
  </si>
  <si>
    <t>000029EM</t>
  </si>
  <si>
    <t>CAÇAMBA MTK</t>
  </si>
  <si>
    <t>COMPRA DE CAÇAMBAS - SOLICITADA POR TORRE</t>
  </si>
  <si>
    <t>011405UC
011406UC
011407UC
011408UC
011409UC
011410UC
011417UC</t>
  </si>
  <si>
    <t xml:space="preserve">Sarrafo de 3x15
Tabua 20/3 metros
Caibro de eucalipto 3MT Comprimento
Saco de areia média
Saco de pedra nº 1
Saco de cimento CSN CP 2
Viga de 15x9 em ferro de Diâmetro de 3/8” e Estribo de diâmetro de 1/8” com comprimento de 3 metros
</t>
  </si>
  <si>
    <t>COMPRA MATERIAIS DE CONSTRUÇÃO RUA TURCUM 43- SOLIC. ABERTA POR BARBARA (MTK.PPCP1)</t>
  </si>
  <si>
    <t>Relé de segurança - 3TK2810-0BA01</t>
  </si>
  <si>
    <t>Chave de seguraça - 3SE5322-0SB21</t>
  </si>
  <si>
    <t>Acionamento de raio - 3SE5000-0AV05</t>
  </si>
  <si>
    <t>011366UC</t>
  </si>
  <si>
    <t>PRESTAÇÃO DE SERVIÇO - REFORMA VESTIÁRIO FEMININO - Solicitante Pedro</t>
  </si>
  <si>
    <t>011515UC
011516UC
011517UC
011518UC
011519UC
011520UC
011521UC
011522UC
011523UC
011524UC
011525UC
011526UC
011527UC</t>
  </si>
  <si>
    <t>Tijolos Baianos 11x19x29
Sacos de areia média
Sacos de cimento CP II
Chapas de drywall standard (ST)
Chapas de drywall verde (RU)
Guias de 7cm
Montantes de 7cm
Rolo de fita telada
Lata de massa para calafetar (18L)
Cartela de prego de aço (para Drywall)
Parafusos com bucha 06 para fixação (Drywall)
Caixas de Viaplus 7000
Barra de ferro 3/8</t>
  </si>
  <si>
    <t>PRESTAÇÃO DE SERVIÇO - REFORMA VESTIÁRIO FEMININO - Solicitante Pedro
SOLICITAÇÃO FOI CANCELADA POR ERRO NO CÓDIGO DO SERVIÇO</t>
  </si>
  <si>
    <t>000134ST</t>
  </si>
  <si>
    <t>PRESTAÇÃO DE SERVIÇO</t>
  </si>
  <si>
    <t>SERVIÇO REFORMA DO LABORATÓRIO - Solicitante Pedro</t>
  </si>
  <si>
    <t>Prazo (dias)</t>
  </si>
  <si>
    <t>URSA MAIOR - SERVIÇO DE RETIRADA TL-80  - Solicitante Pedro</t>
  </si>
  <si>
    <t>MATERIAIS DE CONSTRUÇÃO REFORMA VESTIÁRIO FEMININO</t>
  </si>
  <si>
    <t>Aprovador</t>
  </si>
  <si>
    <t>Torres</t>
  </si>
  <si>
    <t>Charles</t>
  </si>
  <si>
    <t>Email</t>
  </si>
  <si>
    <t>torres@metaltork.com.br</t>
  </si>
  <si>
    <t>charles.anderle@metaltork.com.br</t>
  </si>
  <si>
    <r>
      <rPr>
        <sz val="11"/>
        <color theme="10"/>
        <rFont val="Calibri"/>
        <family val="2"/>
        <scheme val="minor"/>
      </rPr>
      <t xml:space="preserve">NATIONAL - LUMINÁRIA - Solicitante Pedro </t>
    </r>
    <r>
      <rPr>
        <u/>
        <sz val="11"/>
        <color theme="10"/>
        <rFont val="Calibri"/>
        <family val="2"/>
        <scheme val="minor"/>
      </rPr>
      <t>https://www.digitalled.com.br/refletores-de-led/refletor-de-led-para-campo-quadra-100w-ip68-n2-um-modulo-modelo-2021?parceiro=5222&amp;gclid=EAIaIQobChMIoYGd8ICP9wIVFTKRCh3K2QYUEAQYECABEgK-JPD_BwE</t>
    </r>
  </si>
  <si>
    <t>Titulo</t>
  </si>
  <si>
    <t>TROCA DAS DIVISÓRIAS VESTIÁRIO FEMININO</t>
  </si>
  <si>
    <t>LUMINÁRIA NATIONAL</t>
  </si>
  <si>
    <t>011696UC</t>
  </si>
  <si>
    <t>REFLETOR DE LED PARA CAMPO QUADRA 100W IP68 N2 UM MÓDULO MODELO 2021</t>
  </si>
  <si>
    <t>Nº do item</t>
  </si>
  <si>
    <t>Descrição do item</t>
  </si>
  <si>
    <t>Qtd.necessária</t>
  </si>
  <si>
    <t>Nome da UM</t>
  </si>
  <si>
    <t>Utilização</t>
  </si>
  <si>
    <t>011705UC</t>
  </si>
  <si>
    <t>Quadro de força Tigre para 15 disjuntores</t>
  </si>
  <si>
    <t>E-Compra Mat.Prima</t>
  </si>
  <si>
    <t>011706UC</t>
  </si>
  <si>
    <t>caixa de luz 4 x 2</t>
  </si>
  <si>
    <t>011305UC</t>
  </si>
  <si>
    <t>CONDUITE 3/4"</t>
  </si>
  <si>
    <t>MT</t>
  </si>
  <si>
    <t>011707UC</t>
  </si>
  <si>
    <t>Porta de entrada em alumínio 0,90 abertura para esquerda</t>
  </si>
  <si>
    <t>011708UC</t>
  </si>
  <si>
    <t>Ralo linear sifonado de 1,00 x 0,10 grelha em inox</t>
  </si>
  <si>
    <t>011709UC</t>
  </si>
  <si>
    <t>Caixa sifonada de 15 cm com grelha em inox</t>
  </si>
  <si>
    <t>011710UC</t>
  </si>
  <si>
    <t>cano de 01 polegada</t>
  </si>
  <si>
    <t>011711UC</t>
  </si>
  <si>
    <t>tubo de cola (grande)</t>
  </si>
  <si>
    <t>011712UC</t>
  </si>
  <si>
    <t>luva marrom de 01 polegada</t>
  </si>
  <si>
    <t>011714UC</t>
  </si>
  <si>
    <t>cotovelo azul com rosca de 1/2 para ¾</t>
  </si>
  <si>
    <t>011715UC</t>
  </si>
  <si>
    <t>redução de 1 polegada para 3/4</t>
  </si>
  <si>
    <t>006165UC</t>
  </si>
  <si>
    <t>REGISTRO DE GAVETA 1"</t>
  </si>
  <si>
    <t>011680UC</t>
  </si>
  <si>
    <t>T de 3/4</t>
  </si>
  <si>
    <t>011681UC</t>
  </si>
  <si>
    <t>cotovelos marrom de 3/4</t>
  </si>
  <si>
    <t>011682UC</t>
  </si>
  <si>
    <t>Tampão de 01 polegada</t>
  </si>
  <si>
    <t>011683UC</t>
  </si>
  <si>
    <t>cotovelo de 100 com visita</t>
  </si>
  <si>
    <t>011684UC</t>
  </si>
  <si>
    <t>redução de 100 para 50</t>
  </si>
  <si>
    <t>011685UC</t>
  </si>
  <si>
    <t>cano 50 para esgoto</t>
  </si>
  <si>
    <t>011686UC</t>
  </si>
  <si>
    <t>T de 100</t>
  </si>
  <si>
    <t>011687UC</t>
  </si>
  <si>
    <t>cano de 100</t>
  </si>
  <si>
    <t>011688UC</t>
  </si>
  <si>
    <t>cotovelos de 50 esgoto</t>
  </si>
  <si>
    <t>011689UC</t>
  </si>
  <si>
    <t>T de 50 esgoto</t>
  </si>
  <si>
    <t>011690UC</t>
  </si>
  <si>
    <t>Y de 50</t>
  </si>
  <si>
    <t>011691UC</t>
  </si>
  <si>
    <t>fitas teflon grande</t>
  </si>
  <si>
    <t>011408UC</t>
  </si>
  <si>
    <t>Saco de areia média</t>
  </si>
  <si>
    <t>SOLIC 21</t>
  </si>
  <si>
    <t>MATERIAIS PARA CONSTRUÇÃO VESTIÁRIO FEMININO 2 - Solicitante Pedro</t>
  </si>
  <si>
    <t>011716UC</t>
  </si>
  <si>
    <t>FITA DO SKIMMER HOT-FORMER</t>
  </si>
  <si>
    <t>BANCADA COM ACABAMENTO 45º, FRONTÃO DE 10CM E SAIA DE 10CM
CUBA DE EMBUTIR DE LAVATÓRIO DECA</t>
  </si>
  <si>
    <t>011726UC
011727UC</t>
  </si>
  <si>
    <t>ADICIONAL SERVIÇO DE REFORMA VESTIÁRIO FEMININO</t>
  </si>
  <si>
    <t>FITA SKIMMER HOT-FORMER</t>
  </si>
  <si>
    <t>PIA VESTIÁRIO FEMININO</t>
  </si>
  <si>
    <t>ARMANNI - PEDRA E CUBA DE PIA VESTIÁRIO FEMININO - Solicitante Pedro</t>
  </si>
  <si>
    <t>TECWAG - FITA SKIMMER HOT-FORMER - Solicitante Pedro</t>
  </si>
  <si>
    <t>SERVIÇO REFORMA VESTIÁRIO FEMININO (ADICIONAL) - Solicitante Pedro</t>
  </si>
  <si>
    <t>011731UC</t>
  </si>
  <si>
    <t>CHUVEIRO LORENZETTI 220V 5500W</t>
  </si>
  <si>
    <t>CHUVEIROS VESTIÁRIO FEMININO</t>
  </si>
  <si>
    <t>CHUVEIROS VESTIÁRIO FEMININO - Solicitante Pedro</t>
  </si>
  <si>
    <t>011777UC
011778UC
011779UC
011780UC
011781UC
011782UC
011783UC
011784UC
011785UC
011786UC
011787UC
011788UC
011789UC
011790UC</t>
  </si>
  <si>
    <t>MATERIAIS DE CONSTRUÇÃO - VESTIÁRIO FEMININO - Solicitante Pedro</t>
  </si>
  <si>
    <t>Redução de 32mm/25mm marrom
Barras de cano marrom 6 metros
Luvas azul ¾
Adaptador marrom com rosca
Ralo p/ esgoto de 100 saída de 50
Grelha p/ ralo de 10/100
Grelha p/ ralo de 15/100
Adaptador de 1 polegadas marrom com rosca
T de 1 polegada
Cotovelo de 1 polegada
Folhas de lixa n: 180 p massa corrida
Tampão marrom ¾
Tapa furo 1 polegada
Luvas Branca de 2 polegadas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</si>
</sst>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8" formatCode="&quot;R$&quot;\ #,##0.00;[Red]\-&quot;R$&quot;\ #,##0.00"/>
    <numFmt numFmtId="44" formatCode="_-&quot;R$&quot;\ * #,##0.00_-;\-&quot;R$&quot;\ * #,##0.00_-;_-&quot;R$&quot;\ * &quot;-&quot;??_-;_-@_-"/>
    <numFmt numFmtId="164" formatCode="_-[$$-409]* #,##0.00_ ;_-[$$-409]* \-#,##0.00\ ;_-[$$-409]* &quot;-&quot;??_ ;_-@_ "/>
    <numFmt numFmtId="165" formatCode="_-[$R$-416]\ * #,##0.00_-;\-[$R$-416]\ * #,##0.00_-;_-[$R$-416]\ * &quot;-&quot;??_-;_-@_-"/>
  </numFmts>
  <fonts count="29" x14ac:knownFonts="1">
    <font>
      <sz val="11"/>
      <color theme="1"/>
      <name val="Calibri"/>
      <family val="2"/>
      <scheme val="minor"/>
    </font>
    <font>
      <sz val="11"/>
      <color theme="1"/>
      <name val="Calibri"/>
      <family val="2"/>
      <scheme val="minor"/>
    </font>
    <font>
      <b/>
      <sz val="11"/>
      <color theme="3"/>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rgb="FF0070C0"/>
      <name val="Calibri"/>
      <family val="2"/>
      <scheme val="minor"/>
    </font>
    <font>
      <b/>
      <sz val="11"/>
      <color theme="9" tint="-0.249977111117893"/>
      <name val="Calibri"/>
      <family val="2"/>
      <scheme val="minor"/>
    </font>
    <font>
      <sz val="16"/>
      <color theme="1"/>
      <name val="Calibri"/>
      <family val="2"/>
      <scheme val="minor"/>
    </font>
    <font>
      <i/>
      <sz val="14"/>
      <color theme="9" tint="-0.249977111117893"/>
      <name val="Calibri"/>
      <family val="2"/>
      <scheme val="minor"/>
    </font>
    <font>
      <b/>
      <i/>
      <sz val="16"/>
      <color theme="1"/>
      <name val="Calibri"/>
      <family val="2"/>
      <scheme val="minor"/>
    </font>
    <font>
      <b/>
      <sz val="11"/>
      <color theme="9" tint="-0.499984740745262"/>
      <name val="Calibri"/>
      <family val="2"/>
      <scheme val="minor"/>
    </font>
    <font>
      <b/>
      <i/>
      <sz val="14"/>
      <color theme="9" tint="-0.249977111117893"/>
      <name val="Calibri"/>
      <family val="2"/>
      <scheme val="minor"/>
    </font>
    <font>
      <i/>
      <sz val="12"/>
      <color theme="9" tint="-0.249977111117893"/>
      <name val="Calibri"/>
      <family val="2"/>
      <scheme val="minor"/>
    </font>
    <font>
      <sz val="12"/>
      <color theme="1"/>
      <name val="Calibri"/>
      <family val="2"/>
      <scheme val="minor"/>
    </font>
    <font>
      <b/>
      <i/>
      <u/>
      <sz val="16"/>
      <color theme="1"/>
      <name val="Calibri"/>
      <family val="2"/>
      <scheme val="minor"/>
    </font>
    <font>
      <b/>
      <i/>
      <u/>
      <sz val="16"/>
      <color theme="8"/>
      <name val="Calibri"/>
      <family val="2"/>
      <scheme val="minor"/>
    </font>
    <font>
      <b/>
      <i/>
      <u/>
      <sz val="16"/>
      <color theme="9" tint="-0.249977111117893"/>
      <name val="Calibri"/>
      <family val="2"/>
      <scheme val="minor"/>
    </font>
    <font>
      <b/>
      <i/>
      <u/>
      <sz val="16"/>
      <name val="Calibri"/>
      <family val="2"/>
      <scheme val="minor"/>
    </font>
    <font>
      <b/>
      <sz val="18"/>
      <color theme="9" tint="-0.249977111117893"/>
      <name val="Calibri"/>
      <family val="2"/>
      <scheme val="minor"/>
    </font>
    <font>
      <sz val="14"/>
      <color theme="1"/>
      <name val="Calibri"/>
      <family val="2"/>
      <scheme val="minor"/>
    </font>
    <font>
      <b/>
      <sz val="14"/>
      <color theme="1"/>
      <name val="Calibri"/>
      <family val="2"/>
      <scheme val="minor"/>
    </font>
    <font>
      <b/>
      <sz val="14"/>
      <color theme="9" tint="-0.249977111117893"/>
      <name val="Calibri"/>
      <family val="2"/>
      <scheme val="minor"/>
    </font>
    <font>
      <sz val="11"/>
      <color theme="1"/>
      <name val="Calibri"/>
      <family val="2"/>
      <scheme val="minor"/>
    </font>
    <font>
      <u/>
      <sz val="11"/>
      <color theme="10"/>
      <name val="Calibri"/>
      <family val="2"/>
      <scheme val="minor"/>
    </font>
    <font>
      <b/>
      <sz val="13"/>
      <color theme="3"/>
      <name val="Calibri"/>
      <family val="2"/>
      <scheme val="minor"/>
    </font>
    <font>
      <sz val="11"/>
      <color theme="10"/>
      <name val="Calibri"/>
      <family val="2"/>
      <scheme val="minor"/>
    </font>
    <font>
      <sz val="11"/>
      <color theme="1"/>
      <name val="Calibri"/>
      <scheme val="minor"/>
    </font>
  </fonts>
  <fills count="8">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4"/>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9" tint="0.39997558519241921"/>
        <bgColor indexed="64"/>
      </patternFill>
    </fill>
  </fills>
  <borders count="27">
    <border>
      <left/>
      <right/>
      <top/>
      <bottom/>
      <diagonal/>
    </border>
    <border>
      <left/>
      <right/>
      <top/>
      <bottom style="medium">
        <color theme="4" tint="0.39997558519241921"/>
      </bottom>
      <diagonal/>
    </border>
    <border>
      <left/>
      <right/>
      <top style="thin">
        <color theme="9"/>
      </top>
      <bottom style="thin">
        <color theme="9"/>
      </bottom>
      <diagonal/>
    </border>
    <border>
      <left/>
      <right/>
      <top/>
      <bottom style="thin">
        <color theme="9"/>
      </bottom>
      <diagonal/>
    </border>
    <border>
      <left/>
      <right/>
      <top/>
      <bottom style="medium">
        <color theme="9"/>
      </bottom>
      <diagonal/>
    </border>
    <border>
      <left/>
      <right/>
      <top/>
      <bottom style="medium">
        <color indexed="64"/>
      </bottom>
      <diagonal/>
    </border>
    <border>
      <left/>
      <right/>
      <top style="thin">
        <color theme="9"/>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theme="4" tint="0.39997558519241921"/>
      </bottom>
      <diagonal/>
    </border>
    <border>
      <left/>
      <right style="medium">
        <color indexed="64"/>
      </right>
      <top/>
      <bottom style="medium">
        <color theme="4" tint="0.3999755851924192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style="medium">
        <color theme="9"/>
      </bottom>
      <diagonal/>
    </border>
    <border>
      <left/>
      <right style="medium">
        <color indexed="64"/>
      </right>
      <top style="thin">
        <color theme="9"/>
      </top>
      <bottom style="thin">
        <color theme="9"/>
      </bottom>
      <diagonal/>
    </border>
    <border>
      <left/>
      <right style="medium">
        <color indexed="64"/>
      </right>
      <top style="thin">
        <color theme="9"/>
      </top>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right/>
      <top/>
      <bottom style="thick">
        <color theme="4" tint="0.499984740745262"/>
      </bottom>
      <diagonal/>
    </border>
  </borders>
  <cellStyleXfs count="6">
    <xf numFmtId="0" fontId="0" fillId="0" borderId="0"/>
    <xf numFmtId="44" fontId="1" fillId="0" borderId="0" applyFont="0" applyFill="0" applyBorder="0" applyAlignment="0" applyProtection="0"/>
    <xf numFmtId="0" fontId="2" fillId="0" borderId="1" applyNumberFormat="0" applyFill="0" applyAlignment="0" applyProtection="0"/>
    <xf numFmtId="9" fontId="1" fillId="0" borderId="0" applyFont="0" applyFill="0" applyBorder="0" applyAlignment="0" applyProtection="0"/>
    <xf numFmtId="0" fontId="25" fillId="0" borderId="0" applyNumberFormat="0" applyFill="0" applyBorder="0" applyAlignment="0" applyProtection="0"/>
    <xf numFmtId="0" fontId="26" fillId="0" borderId="26" applyNumberFormat="0" applyFill="0" applyAlignment="0" applyProtection="0"/>
  </cellStyleXfs>
  <cellXfs count="97">
    <xf numFmtId="0" fontId="0" fillId="0" borderId="0" xfId="0"/>
    <xf numFmtId="14" fontId="0" fillId="0" borderId="0" xfId="0" applyNumberFormat="1"/>
    <xf numFmtId="8" fontId="0" fillId="0" borderId="0" xfId="0" applyNumberFormat="1"/>
    <xf numFmtId="0" fontId="0" fillId="0" borderId="0" xfId="0" applyAlignment="1">
      <alignment horizontal="center" vertical="center"/>
    </xf>
    <xf numFmtId="0" fontId="2" fillId="0" borderId="1" xfId="2" applyAlignment="1">
      <alignment horizontal="center" vertical="center"/>
    </xf>
    <xf numFmtId="14" fontId="0" fillId="0" borderId="0" xfId="0" applyNumberFormat="1" applyAlignment="1">
      <alignment horizontal="center" vertical="center"/>
    </xf>
    <xf numFmtId="0" fontId="4" fillId="4" borderId="1" xfId="2" applyFont="1" applyFill="1" applyAlignment="1">
      <alignment horizontal="center" vertical="center" wrapText="1"/>
    </xf>
    <xf numFmtId="0" fontId="4" fillId="4" borderId="1" xfId="2" applyFont="1" applyFill="1" applyAlignment="1">
      <alignment vertical="center" wrapText="1"/>
    </xf>
    <xf numFmtId="0" fontId="8" fillId="0" borderId="2" xfId="0" applyFont="1" applyBorder="1"/>
    <xf numFmtId="0" fontId="0" fillId="0" borderId="3" xfId="0" applyBorder="1"/>
    <xf numFmtId="0" fontId="11" fillId="0" borderId="3" xfId="0" applyFont="1" applyBorder="1"/>
    <xf numFmtId="44" fontId="0" fillId="0" borderId="0" xfId="0" applyNumberFormat="1"/>
    <xf numFmtId="0" fontId="13" fillId="0" borderId="4" xfId="0" applyFont="1" applyBorder="1"/>
    <xf numFmtId="44" fontId="4" fillId="4" borderId="1" xfId="1" applyFont="1" applyFill="1" applyBorder="1" applyAlignment="1">
      <alignment horizontal="center" vertical="center" wrapText="1"/>
    </xf>
    <xf numFmtId="44" fontId="0" fillId="0" borderId="0" xfId="1" applyNumberFormat="1" applyFont="1" applyAlignment="1">
      <alignment horizontal="center" vertical="center"/>
    </xf>
    <xf numFmtId="0" fontId="0" fillId="0" borderId="0" xfId="0" applyAlignment="1">
      <alignment horizontal="center" vertical="center" wrapText="1"/>
    </xf>
    <xf numFmtId="164" fontId="0" fillId="0" borderId="0" xfId="1" applyNumberFormat="1" applyFont="1" applyAlignment="1">
      <alignment horizontal="center" vertical="center"/>
    </xf>
    <xf numFmtId="164" fontId="4" fillId="4" borderId="1" xfId="1" applyNumberFormat="1" applyFont="1" applyFill="1" applyBorder="1" applyAlignment="1">
      <alignment horizontal="center" vertical="center" wrapText="1"/>
    </xf>
    <xf numFmtId="164" fontId="0" fillId="0" borderId="0" xfId="0" applyNumberFormat="1" applyAlignment="1">
      <alignment horizontal="center" vertical="center"/>
    </xf>
    <xf numFmtId="0" fontId="6" fillId="0" borderId="0" xfId="0" applyFont="1" applyFill="1" applyAlignment="1">
      <alignment vertical="center" wrapText="1"/>
    </xf>
    <xf numFmtId="164" fontId="8" fillId="0" borderId="2" xfId="0" applyNumberFormat="1" applyFont="1" applyBorder="1"/>
    <xf numFmtId="0" fontId="10" fillId="0" borderId="4" xfId="0" applyFont="1" applyBorder="1" applyProtection="1">
      <protection locked="0"/>
    </xf>
    <xf numFmtId="14" fontId="14" fillId="0" borderId="4" xfId="0" applyNumberFormat="1" applyFont="1" applyBorder="1" applyProtection="1">
      <protection locked="0"/>
    </xf>
    <xf numFmtId="0" fontId="16" fillId="0" borderId="5" xfId="0" applyFont="1" applyBorder="1"/>
    <xf numFmtId="0" fontId="0" fillId="0" borderId="5" xfId="0" applyBorder="1"/>
    <xf numFmtId="44" fontId="0" fillId="0" borderId="5" xfId="0" applyNumberFormat="1" applyBorder="1"/>
    <xf numFmtId="0" fontId="0" fillId="0" borderId="0" xfId="0" applyBorder="1"/>
    <xf numFmtId="44" fontId="0" fillId="0" borderId="0" xfId="0" applyNumberFormat="1" applyBorder="1"/>
    <xf numFmtId="0" fontId="8" fillId="0" borderId="2" xfId="0" applyFont="1" applyBorder="1" applyAlignment="1">
      <alignment wrapText="1"/>
    </xf>
    <xf numFmtId="0" fontId="8" fillId="0" borderId="6" xfId="0" applyFont="1" applyBorder="1" applyAlignment="1">
      <alignment wrapText="1"/>
    </xf>
    <xf numFmtId="0" fontId="8" fillId="0" borderId="6" xfId="0" applyFont="1" applyBorder="1"/>
    <xf numFmtId="164" fontId="8" fillId="0" borderId="6" xfId="0" applyNumberFormat="1" applyFont="1" applyBorder="1"/>
    <xf numFmtId="0" fontId="0" fillId="5" borderId="7" xfId="0" applyFill="1" applyBorder="1"/>
    <xf numFmtId="0" fontId="0" fillId="5" borderId="8" xfId="0" applyFill="1" applyBorder="1"/>
    <xf numFmtId="0" fontId="0" fillId="5" borderId="9" xfId="0" applyFill="1" applyBorder="1"/>
    <xf numFmtId="165" fontId="9" fillId="0" borderId="0" xfId="0" applyNumberFormat="1" applyFont="1" applyBorder="1"/>
    <xf numFmtId="44" fontId="9" fillId="0" borderId="0" xfId="1" applyFont="1" applyBorder="1"/>
    <xf numFmtId="0" fontId="20" fillId="0" borderId="2" xfId="0" applyFont="1" applyBorder="1" applyAlignment="1">
      <alignment horizontal="center" vertical="center"/>
    </xf>
    <xf numFmtId="0" fontId="15" fillId="0" borderId="10" xfId="0" applyFont="1" applyBorder="1"/>
    <xf numFmtId="0" fontId="15" fillId="0" borderId="11" xfId="0" applyFont="1" applyBorder="1"/>
    <xf numFmtId="0" fontId="5" fillId="0" borderId="14" xfId="2" applyFont="1" applyBorder="1"/>
    <xf numFmtId="0" fontId="5" fillId="0" borderId="1" xfId="2" applyFont="1" applyBorder="1"/>
    <xf numFmtId="0" fontId="5" fillId="0" borderId="15" xfId="2" applyFont="1" applyBorder="1"/>
    <xf numFmtId="0" fontId="0" fillId="0" borderId="16" xfId="0" applyBorder="1"/>
    <xf numFmtId="44" fontId="0" fillId="0" borderId="0" xfId="1" applyFont="1" applyBorder="1"/>
    <xf numFmtId="44" fontId="0" fillId="0" borderId="17" xfId="1" applyFont="1" applyBorder="1"/>
    <xf numFmtId="0" fontId="0" fillId="0" borderId="18" xfId="0" applyBorder="1"/>
    <xf numFmtId="0" fontId="0" fillId="0" borderId="7" xfId="0" applyBorder="1"/>
    <xf numFmtId="0" fontId="0" fillId="0" borderId="9" xfId="0" applyBorder="1"/>
    <xf numFmtId="0" fontId="0" fillId="0" borderId="8" xfId="0" applyBorder="1"/>
    <xf numFmtId="0" fontId="11" fillId="0" borderId="7" xfId="0" applyFont="1" applyBorder="1"/>
    <xf numFmtId="44" fontId="21" fillId="0" borderId="9" xfId="0" applyNumberFormat="1" applyFont="1" applyBorder="1" applyAlignment="1">
      <alignment horizontal="center" vertical="center"/>
    </xf>
    <xf numFmtId="0" fontId="2" fillId="7" borderId="4" xfId="2" applyFill="1" applyBorder="1"/>
    <xf numFmtId="0" fontId="3" fillId="0" borderId="8" xfId="0" applyNumberFormat="1" applyFont="1" applyBorder="1"/>
    <xf numFmtId="0" fontId="0" fillId="0" borderId="17" xfId="0" applyBorder="1"/>
    <xf numFmtId="0" fontId="2" fillId="7" borderId="21" xfId="2" applyFill="1" applyBorder="1"/>
    <xf numFmtId="0" fontId="12" fillId="0" borderId="0" xfId="0" applyFont="1" applyBorder="1"/>
    <xf numFmtId="164" fontId="12" fillId="0" borderId="0" xfId="1" applyNumberFormat="1" applyFont="1" applyBorder="1"/>
    <xf numFmtId="164" fontId="12" fillId="0" borderId="0" xfId="3" applyNumberFormat="1" applyFont="1" applyBorder="1"/>
    <xf numFmtId="44" fontId="12" fillId="0" borderId="17" xfId="1" applyFont="1" applyBorder="1"/>
    <xf numFmtId="164" fontId="1" fillId="0" borderId="0" xfId="0" applyNumberFormat="1" applyFont="1" applyBorder="1"/>
    <xf numFmtId="44" fontId="21" fillId="0" borderId="17" xfId="0" applyNumberFormat="1" applyFont="1" applyBorder="1"/>
    <xf numFmtId="165" fontId="23" fillId="0" borderId="22" xfId="0" applyNumberFormat="1" applyFont="1" applyBorder="1"/>
    <xf numFmtId="165" fontId="23" fillId="0" borderId="23" xfId="0" applyNumberFormat="1" applyFont="1" applyBorder="1" applyAlignment="1">
      <alignment horizontal="center" vertical="center"/>
    </xf>
    <xf numFmtId="44" fontId="0" fillId="0" borderId="19" xfId="0" applyNumberFormat="1" applyBorder="1"/>
    <xf numFmtId="44" fontId="0" fillId="0" borderId="17" xfId="0" applyNumberFormat="1" applyBorder="1"/>
    <xf numFmtId="0" fontId="10" fillId="0" borderId="21" xfId="0" applyFont="1" applyBorder="1"/>
    <xf numFmtId="0" fontId="14" fillId="0" borderId="21" xfId="0" applyFont="1" applyBorder="1"/>
    <xf numFmtId="0" fontId="22" fillId="6" borderId="24" xfId="0" applyFont="1" applyFill="1" applyBorder="1"/>
    <xf numFmtId="44" fontId="22" fillId="6" borderId="5" xfId="1" applyFont="1" applyFill="1" applyBorder="1"/>
    <xf numFmtId="14" fontId="14" fillId="0" borderId="5" xfId="0" applyNumberFormat="1" applyFont="1" applyBorder="1" applyProtection="1">
      <protection locked="0"/>
    </xf>
    <xf numFmtId="0" fontId="10" fillId="0" borderId="5" xfId="0" applyFont="1" applyBorder="1" applyProtection="1">
      <protection locked="0"/>
    </xf>
    <xf numFmtId="0" fontId="14" fillId="0" borderId="19" xfId="0" applyFont="1" applyBorder="1"/>
    <xf numFmtId="164" fontId="24" fillId="0" borderId="0" xfId="1" applyNumberFormat="1" applyFont="1" applyAlignment="1">
      <alignment horizontal="center" vertical="center"/>
    </xf>
    <xf numFmtId="0" fontId="0" fillId="0" borderId="0" xfId="0" applyAlignment="1">
      <alignment horizontal="left" vertical="center" wrapText="1"/>
    </xf>
    <xf numFmtId="0" fontId="15" fillId="0" borderId="25" xfId="0" applyFont="1" applyBorder="1"/>
    <xf numFmtId="0" fontId="0" fillId="0" borderId="0" xfId="0" applyAlignment="1">
      <alignment vertical="center" wrapText="1"/>
    </xf>
    <xf numFmtId="0" fontId="7" fillId="2" borderId="0" xfId="0" applyFont="1" applyFill="1" applyAlignment="1">
      <alignment horizontal="center" vertical="center"/>
    </xf>
    <xf numFmtId="44" fontId="0" fillId="0" borderId="0" xfId="1" applyFont="1" applyAlignment="1">
      <alignment horizontal="center" vertical="center" wrapText="1"/>
    </xf>
    <xf numFmtId="44" fontId="0" fillId="0" borderId="0" xfId="0" applyNumberFormat="1" applyAlignment="1">
      <alignment horizontal="center" vertical="center" wrapText="1"/>
    </xf>
    <xf numFmtId="44" fontId="0" fillId="0" borderId="0" xfId="1" applyNumberFormat="1" applyFont="1" applyAlignment="1">
      <alignment horizontal="center" vertical="center" wrapText="1"/>
    </xf>
    <xf numFmtId="14" fontId="24" fillId="0" borderId="0" xfId="1" applyNumberFormat="1" applyFont="1" applyAlignment="1">
      <alignment horizontal="center" vertical="center"/>
    </xf>
    <xf numFmtId="0" fontId="25" fillId="0" borderId="0" xfId="4" applyAlignment="1">
      <alignment vertical="center" wrapText="1"/>
    </xf>
    <xf numFmtId="0" fontId="26" fillId="0" borderId="26" xfId="5" applyAlignment="1">
      <alignment horizontal="center" vertical="center" wrapText="1"/>
    </xf>
    <xf numFmtId="0" fontId="26" fillId="0" borderId="26" xfId="5" applyAlignment="1">
      <alignment vertical="center" wrapText="1"/>
    </xf>
    <xf numFmtId="0" fontId="0" fillId="2" borderId="0" xfId="0" applyFill="1" applyAlignment="1">
      <alignment horizontal="center" vertical="center" wrapText="1"/>
    </xf>
    <xf numFmtId="0" fontId="25" fillId="2" borderId="0" xfId="4" applyFill="1"/>
    <xf numFmtId="0" fontId="25" fillId="2" borderId="0" xfId="4" applyFill="1" applyAlignment="1">
      <alignment vertical="center" wrapText="1"/>
    </xf>
    <xf numFmtId="14" fontId="0" fillId="0" borderId="0" xfId="0" applyNumberFormat="1" applyAlignment="1">
      <alignment horizontal="center" vertical="center" wrapText="1"/>
    </xf>
    <xf numFmtId="0" fontId="25" fillId="0" borderId="0" xfId="4" applyAlignment="1">
      <alignment horizontal="center" vertical="center" wrapText="1"/>
    </xf>
    <xf numFmtId="164" fontId="28" fillId="0" borderId="0" xfId="1" applyNumberFormat="1" applyFont="1" applyAlignment="1">
      <alignment horizontal="center" vertical="center"/>
    </xf>
    <xf numFmtId="22" fontId="0" fillId="0" borderId="0" xfId="0" applyNumberFormat="1" applyAlignment="1">
      <alignment horizontal="center" vertical="center"/>
    </xf>
    <xf numFmtId="0" fontId="7" fillId="3" borderId="0" xfId="0" applyFont="1" applyFill="1" applyAlignment="1">
      <alignment horizontal="center"/>
    </xf>
    <xf numFmtId="0" fontId="2" fillId="0" borderId="1" xfId="2" applyAlignment="1">
      <alignment horizontal="center"/>
    </xf>
    <xf numFmtId="0" fontId="11" fillId="0" borderId="20" xfId="0" applyFont="1" applyBorder="1" applyAlignment="1">
      <alignment horizontal="center"/>
    </xf>
    <xf numFmtId="0" fontId="11" fillId="0" borderId="12" xfId="0" applyFont="1" applyBorder="1" applyAlignment="1">
      <alignment horizontal="center"/>
    </xf>
    <xf numFmtId="0" fontId="11" fillId="0" borderId="13" xfId="0" applyFont="1" applyBorder="1" applyAlignment="1">
      <alignment horizontal="center"/>
    </xf>
  </cellXfs>
  <cellStyles count="6">
    <cellStyle name="Hiperlink" xfId="4" builtinId="8"/>
    <cellStyle name="Moeda" xfId="1" builtinId="4"/>
    <cellStyle name="Normal" xfId="0" builtinId="0"/>
    <cellStyle name="Porcentagem" xfId="3" builtinId="5"/>
    <cellStyle name="Título 2" xfId="5" builtinId="17"/>
    <cellStyle name="Título 3" xfId="2" builtinId="18"/>
  </cellStyles>
  <dxfs count="77">
    <dxf>
      <font>
        <b val="0"/>
        <i val="0"/>
        <strike val="0"/>
        <condense val="0"/>
        <extend val="0"/>
        <outline val="0"/>
        <shadow val="0"/>
        <u val="none"/>
        <vertAlign val="baseline"/>
        <sz val="14"/>
        <color theme="1"/>
        <name val="Calibri"/>
        <scheme val="minor"/>
      </font>
      <numFmt numFmtId="34" formatCode="_-&quot;R$&quot;\ * #,##0.00_-;\-&quot;R$&quot;\ * #,##0.00_-;_-&quot;R$&quot;\ * &quot;-&quot;??_-;_-@_-"/>
      <border diagonalUp="0" diagonalDown="0" outline="0">
        <left/>
        <right style="medium">
          <color indexed="64"/>
        </right>
        <top/>
        <bottom/>
      </border>
    </dxf>
    <dxf>
      <font>
        <b/>
        <i val="0"/>
        <strike val="0"/>
        <condense val="0"/>
        <extend val="0"/>
        <outline val="0"/>
        <shadow val="0"/>
        <u val="none"/>
        <vertAlign val="baseline"/>
        <sz val="11"/>
        <color theme="9" tint="-0.499984740745262"/>
        <name val="Calibri"/>
        <scheme val="minor"/>
      </font>
      <numFmt numFmtId="34" formatCode="_-&quot;R$&quot;\ * #,##0.00_-;\-&quot;R$&quot;\ * #,##0.00_-;_-&quot;R$&quot;\ * &quot;-&quot;??_-;_-@_-"/>
    </dxf>
    <dxf>
      <font>
        <b val="0"/>
        <i val="0"/>
        <strike val="0"/>
        <condense val="0"/>
        <extend val="0"/>
        <outline val="0"/>
        <shadow val="0"/>
        <u val="none"/>
        <vertAlign val="baseline"/>
        <sz val="11"/>
        <color theme="1"/>
        <name val="Calibri"/>
        <scheme val="minor"/>
      </font>
      <numFmt numFmtId="164" formatCode="_-[$$-409]* #,##0.00_ ;_-[$$-409]* \-#,##0.00\ ;_-[$$-409]* &quot;-&quot;??_ ;_-@_ "/>
      <border diagonalUp="0" diagonalDown="0" outline="0">
        <left/>
        <right/>
        <top/>
        <bottom/>
      </border>
    </dxf>
    <dxf>
      <font>
        <b/>
        <i val="0"/>
        <strike val="0"/>
        <condense val="0"/>
        <extend val="0"/>
        <outline val="0"/>
        <shadow val="0"/>
        <u val="none"/>
        <vertAlign val="baseline"/>
        <sz val="11"/>
        <color theme="9" tint="-0.499984740745262"/>
        <name val="Calibri"/>
        <scheme val="minor"/>
      </font>
      <numFmt numFmtId="164" formatCode="_-[$$-409]* #,##0.00_ ;_-[$$-409]* \-#,##0.00\ ;_-[$$-409]* &quot;-&quot;??_ ;_-@_ "/>
    </dxf>
    <dxf>
      <border diagonalUp="0" diagonalDown="0" outline="0">
        <left/>
        <right/>
        <top/>
        <bottom/>
      </border>
    </dxf>
    <dxf>
      <font>
        <b/>
        <i val="0"/>
        <strike val="0"/>
        <condense val="0"/>
        <extend val="0"/>
        <outline val="0"/>
        <shadow val="0"/>
        <u val="none"/>
        <vertAlign val="baseline"/>
        <sz val="11"/>
        <color theme="9" tint="-0.499984740745262"/>
        <name val="Calibri"/>
        <scheme val="minor"/>
      </font>
      <numFmt numFmtId="164" formatCode="_-[$$-409]* #,##0.00_ ;_-[$$-409]* \-#,##0.00\ ;_-[$$-409]* &quot;-&quot;??_ ;_-@_ "/>
    </dxf>
    <dxf>
      <border diagonalUp="0" diagonalDown="0" outline="0">
        <left/>
        <right/>
        <top/>
        <bottom/>
      </border>
    </dxf>
    <dxf>
      <font>
        <b/>
        <strike val="0"/>
        <outline val="0"/>
        <shadow val="0"/>
        <u val="none"/>
        <vertAlign val="baseline"/>
        <sz val="11"/>
        <color theme="9" tint="-0.499984740745262"/>
        <name val="Calibri"/>
        <scheme val="minor"/>
      </font>
    </dxf>
    <dxf>
      <border diagonalUp="0" diagonalDown="0" outline="0">
        <left/>
        <right/>
        <top/>
        <bottom/>
      </border>
    </dxf>
    <dxf>
      <font>
        <b/>
        <strike val="0"/>
        <outline val="0"/>
        <shadow val="0"/>
        <u val="none"/>
        <vertAlign val="baseline"/>
        <sz val="11"/>
        <color theme="9" tint="-0.499984740745262"/>
        <name val="Calibri"/>
        <scheme val="minor"/>
      </font>
    </dxf>
    <dxf>
      <border diagonalUp="0" diagonalDown="0" outline="0">
        <left/>
        <right/>
        <top/>
        <bottom/>
      </border>
    </dxf>
    <dxf>
      <font>
        <b/>
        <strike val="0"/>
        <outline val="0"/>
        <shadow val="0"/>
        <u val="none"/>
        <vertAlign val="baseline"/>
        <sz val="11"/>
        <color theme="9" tint="-0.499984740745262"/>
        <name val="Calibri"/>
        <scheme val="minor"/>
      </font>
    </dxf>
    <dxf>
      <border diagonalUp="0" diagonalDown="0" outline="0">
        <left/>
        <right/>
        <top/>
        <bottom/>
      </border>
    </dxf>
    <dxf>
      <font>
        <b/>
        <strike val="0"/>
        <outline val="0"/>
        <shadow val="0"/>
        <u val="none"/>
        <vertAlign val="baseline"/>
        <sz val="11"/>
        <color theme="9" tint="-0.499984740745262"/>
        <name val="Calibri"/>
        <scheme val="minor"/>
      </font>
    </dxf>
    <dxf>
      <font>
        <b/>
        <strike val="0"/>
        <outline val="0"/>
        <shadow val="0"/>
        <u val="none"/>
        <vertAlign val="baseline"/>
        <sz val="11"/>
        <color rgb="FF375623"/>
        <name val="Calibri"/>
        <scheme val="none"/>
      </font>
    </dxf>
    <dxf>
      <border>
        <bottom style="medium">
          <color rgb="FF70AD47"/>
        </bottom>
      </border>
    </dxf>
    <dxf>
      <fill>
        <patternFill patternType="solid">
          <fgColor indexed="64"/>
          <bgColor theme="9" tint="0.39997558519241921"/>
        </patternFill>
      </fill>
    </dxf>
    <dxf>
      <font>
        <b val="0"/>
        <i val="0"/>
        <strike val="0"/>
        <condense val="0"/>
        <extend val="0"/>
        <outline val="0"/>
        <shadow val="0"/>
        <u val="none"/>
        <vertAlign val="baseline"/>
        <sz val="14"/>
        <color theme="1"/>
        <name val="Calibri"/>
        <scheme val="minor"/>
      </font>
      <numFmt numFmtId="34" formatCode="_-&quot;R$&quot;\ * #,##0.00_-;\-&quot;R$&quot;\ * #,##0.00_-;_-&quot;R$&quot;\ * &quot;-&quot;??_-;_-@_-"/>
    </dxf>
    <dxf>
      <font>
        <b/>
        <i val="0"/>
        <strike val="0"/>
        <condense val="0"/>
        <extend val="0"/>
        <outline val="0"/>
        <shadow val="0"/>
        <u val="none"/>
        <vertAlign val="baseline"/>
        <sz val="11"/>
        <color theme="9" tint="-0.499984740745262"/>
        <name val="Calibri"/>
        <scheme val="minor"/>
      </font>
      <numFmt numFmtId="34" formatCode="_-&quot;R$&quot;\ * #,##0.00_-;\-&quot;R$&quot;\ * #,##0.00_-;_-&quot;R$&quot;\ * &quot;-&quot;??_-;_-@_-"/>
    </dxf>
    <dxf>
      <font>
        <b val="0"/>
        <i val="0"/>
        <strike val="0"/>
        <condense val="0"/>
        <extend val="0"/>
        <outline val="0"/>
        <shadow val="0"/>
        <u val="none"/>
        <vertAlign val="baseline"/>
        <sz val="11"/>
        <color theme="1"/>
        <name val="Calibri"/>
        <scheme val="minor"/>
      </font>
      <numFmt numFmtId="164" formatCode="_-[$$-409]* #,##0.00_ ;_-[$$-409]* \-#,##0.00\ ;_-[$$-409]* &quot;-&quot;??_ ;_-@_ "/>
    </dxf>
    <dxf>
      <font>
        <b/>
        <i val="0"/>
        <strike val="0"/>
        <condense val="0"/>
        <extend val="0"/>
        <outline val="0"/>
        <shadow val="0"/>
        <u val="none"/>
        <vertAlign val="baseline"/>
        <sz val="11"/>
        <color theme="9" tint="-0.499984740745262"/>
        <name val="Calibri"/>
        <scheme val="minor"/>
      </font>
      <numFmt numFmtId="164" formatCode="_-[$$-409]* #,##0.00_ ;_-[$$-409]* \-#,##0.00\ ;_-[$$-409]* &quot;-&quot;??_ ;_-@_ "/>
    </dxf>
    <dxf>
      <font>
        <b/>
        <i val="0"/>
        <strike val="0"/>
        <condense val="0"/>
        <extend val="0"/>
        <outline val="0"/>
        <shadow val="0"/>
        <u val="none"/>
        <vertAlign val="baseline"/>
        <sz val="11"/>
        <color theme="9" tint="-0.499984740745262"/>
        <name val="Calibri"/>
        <scheme val="minor"/>
      </font>
      <numFmt numFmtId="164" formatCode="_-[$$-409]* #,##0.00_ ;_-[$$-409]* \-#,##0.00\ ;_-[$$-409]* &quot;-&quot;??_ ;_-@_ "/>
    </dxf>
    <dxf>
      <font>
        <b/>
        <strike val="0"/>
        <outline val="0"/>
        <shadow val="0"/>
        <u val="none"/>
        <vertAlign val="baseline"/>
        <sz val="11"/>
        <color theme="9" tint="-0.499984740745262"/>
        <name val="Calibri"/>
        <scheme val="minor"/>
      </font>
    </dxf>
    <dxf>
      <font>
        <b/>
        <strike val="0"/>
        <outline val="0"/>
        <shadow val="0"/>
        <u val="none"/>
        <vertAlign val="baseline"/>
        <sz val="11"/>
        <color theme="9" tint="-0.499984740745262"/>
        <name val="Calibri"/>
        <scheme val="minor"/>
      </font>
    </dxf>
    <dxf>
      <font>
        <b/>
        <strike val="0"/>
        <outline val="0"/>
        <shadow val="0"/>
        <u val="none"/>
        <vertAlign val="baseline"/>
        <sz val="11"/>
        <color theme="9" tint="-0.499984740745262"/>
        <name val="Calibri"/>
        <scheme val="minor"/>
      </font>
    </dxf>
    <dxf>
      <font>
        <b/>
        <strike val="0"/>
        <outline val="0"/>
        <shadow val="0"/>
        <u val="none"/>
        <vertAlign val="baseline"/>
        <sz val="11"/>
        <color theme="9" tint="-0.499984740745262"/>
        <name val="Calibri"/>
        <scheme val="minor"/>
      </font>
    </dxf>
    <dxf>
      <font>
        <b/>
        <strike val="0"/>
        <outline val="0"/>
        <shadow val="0"/>
        <u val="none"/>
        <vertAlign val="baseline"/>
        <sz val="11"/>
        <color theme="9" tint="-0.499984740745262"/>
        <name val="Calibri"/>
        <scheme val="minor"/>
      </font>
    </dxf>
    <dxf>
      <border>
        <bottom style="medium">
          <color theme="9"/>
        </bottom>
      </border>
    </dxf>
    <dxf>
      <fill>
        <patternFill patternType="solid">
          <fgColor indexed="64"/>
          <bgColor theme="9" tint="0.39997558519241921"/>
        </patternFill>
      </fill>
    </dxf>
    <dxf>
      <font>
        <b val="0"/>
        <i val="0"/>
        <strike val="0"/>
        <condense val="0"/>
        <extend val="0"/>
        <outline val="0"/>
        <shadow val="0"/>
        <u val="none"/>
        <vertAlign val="baseline"/>
        <sz val="14"/>
        <color theme="1"/>
        <name val="Calibri"/>
        <scheme val="minor"/>
      </font>
      <numFmt numFmtId="34" formatCode="_-&quot;R$&quot;\ * #,##0.00_-;\-&quot;R$&quot;\ * #,##0.00_-;_-&quot;R$&quot;\ * &quot;-&quot;??_-;_-@_-"/>
      <alignment horizontal="center" vertical="center" textRotation="0" wrapText="0" indent="0" justifyLastLine="0" shrinkToFit="0" readingOrder="0"/>
      <border diagonalUp="0" diagonalDown="0" outline="0">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0" formatCode="General"/>
      <border diagonalUp="0" diagonalDown="0" outline="0">
        <left/>
        <right/>
        <top style="medium">
          <color indexed="64"/>
        </top>
        <bottom style="medium">
          <color indexed="64"/>
        </bottom>
      </border>
    </dxf>
    <dxf>
      <font>
        <b val="0"/>
        <i val="0"/>
        <strike val="0"/>
        <condense val="0"/>
        <extend val="0"/>
        <outline val="0"/>
        <shadow val="0"/>
        <u val="none"/>
        <vertAlign val="baseline"/>
        <sz val="11"/>
        <color theme="1"/>
        <name val="Calibri"/>
        <scheme val="minor"/>
      </font>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style="medium">
          <color indexed="64"/>
        </left>
        <right/>
        <top style="medium">
          <color indexed="64"/>
        </top>
        <bottom style="medium">
          <color indexed="64"/>
        </bottom>
      </border>
    </dxf>
    <dxf>
      <border>
        <top style="medium">
          <color indexed="64"/>
        </top>
      </border>
    </dxf>
    <dxf>
      <border outline="0">
        <bottom style="medium">
          <color theme="4" tint="0.39997558519241921"/>
        </bottom>
      </border>
    </dxf>
    <dxf>
      <font>
        <strike val="0"/>
        <outline val="0"/>
        <shadow val="0"/>
        <u val="none"/>
        <vertAlign val="baseline"/>
        <sz val="11"/>
        <color theme="1"/>
        <name val="Calibri"/>
        <scheme val="minor"/>
      </font>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numFmt numFmtId="19" formatCode="dd/mm/yyyy"/>
      <alignment horizontal="center" vertical="center" textRotation="0" indent="0" justifyLastLine="0" shrinkToFit="0" readingOrder="0"/>
    </dxf>
    <dxf>
      <font>
        <b val="0"/>
        <i val="0"/>
        <strike val="0"/>
        <condense val="0"/>
        <extend val="0"/>
        <outline val="0"/>
        <shadow val="0"/>
        <u val="none"/>
        <vertAlign val="baseline"/>
        <sz val="11"/>
        <color theme="1"/>
        <name val="Calibri"/>
        <scheme val="minor"/>
      </font>
      <numFmt numFmtId="164" formatCode="_-[$$-409]* #,##0.00_ ;_-[$$-409]* \-#,##0.00\ ;_-[$$-409]* &quot;-&quot;??_ ;_-@_ "/>
      <alignment horizontal="center" vertical="center" textRotation="0" wrapText="0" indent="0" justifyLastLine="0" shrinkToFit="0" readingOrder="0"/>
    </dxf>
    <dxf>
      <numFmt numFmtId="34" formatCode="_-&quot;R$&quot;\ * #,##0.00_-;\-&quot;R$&quot;\ * #,##0.00_-;_-&quot;R$&quot;\ * &quot;-&quot;??_-;_-@_-"/>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border outline="0">
        <bottom style="medium">
          <color theme="4" tint="0.39997558519241921"/>
        </bottom>
      </border>
    </dxf>
    <dxf>
      <font>
        <strike val="0"/>
        <outline val="0"/>
        <shadow val="0"/>
        <u val="none"/>
        <vertAlign val="baseline"/>
        <sz val="11"/>
        <color theme="0"/>
        <name val="Calibri"/>
        <scheme val="minor"/>
      </font>
      <fill>
        <patternFill patternType="solid">
          <fgColor indexed="64"/>
          <bgColor theme="4"/>
        </patternFill>
      </fill>
      <alignment horizontal="general" vertical="center" textRotation="0" wrapText="1" indent="0" justifyLastLine="0" shrinkToFit="0" readingOrder="0"/>
    </dxf>
    <dxf>
      <font>
        <b/>
        <i val="0"/>
        <color rgb="FFFF0000"/>
      </font>
    </dxf>
    <dxf>
      <font>
        <b/>
        <i val="0"/>
        <color theme="6"/>
      </font>
    </dxf>
    <dxf>
      <font>
        <b/>
        <i val="0"/>
        <color theme="8" tint="-0.24994659260841701"/>
      </font>
    </dxf>
    <dxf>
      <font>
        <b/>
        <i val="0"/>
        <color theme="9" tint="-0.24994659260841701"/>
      </font>
    </dxf>
    <dxf>
      <font>
        <b/>
        <i val="0"/>
        <color rgb="FFFFC000"/>
      </font>
    </dxf>
    <dxf>
      <font>
        <b/>
        <i val="0"/>
        <color rgb="FFFF0000"/>
      </font>
    </dxf>
    <dxf>
      <font>
        <b/>
        <i val="0"/>
        <color theme="6"/>
      </font>
    </dxf>
    <dxf>
      <font>
        <b/>
        <i val="0"/>
        <color theme="8" tint="-0.24994659260841701"/>
      </font>
    </dxf>
    <dxf>
      <font>
        <b/>
        <i val="0"/>
        <color theme="9" tint="-0.24994659260841701"/>
      </font>
    </dxf>
    <dxf>
      <font>
        <b/>
        <i val="0"/>
        <color rgb="FFFFC000"/>
      </font>
    </dxf>
    <dxf>
      <font>
        <b/>
        <i val="0"/>
        <color rgb="FFFF0000"/>
      </font>
    </dxf>
    <dxf>
      <font>
        <b/>
        <i val="0"/>
        <color theme="6"/>
      </font>
    </dxf>
    <dxf>
      <font>
        <b/>
        <i val="0"/>
        <color theme="8" tint="-0.24994659260841701"/>
      </font>
    </dxf>
    <dxf>
      <font>
        <b/>
        <i val="0"/>
        <color theme="9" tint="-0.24994659260841701"/>
      </font>
    </dxf>
    <dxf>
      <font>
        <b/>
        <i val="0"/>
        <color rgb="FFFFC000"/>
      </font>
    </dxf>
    <dxf>
      <font>
        <b/>
        <i val="0"/>
        <color theme="8" tint="-0.24994659260841701"/>
      </font>
    </dxf>
    <dxf>
      <font>
        <b/>
        <i val="0"/>
        <color theme="9" tint="-0.24994659260841701"/>
      </font>
    </dxf>
    <dxf>
      <font>
        <b/>
        <i val="0"/>
        <color rgb="FFFFC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file:///C:\ANEXOS%20E%20OR&#199;AMENTOS" TargetMode="External"/><Relationship Id="rId4"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editAs="oneCell">
    <xdr:from>
      <xdr:col>8</xdr:col>
      <xdr:colOff>108858</xdr:colOff>
      <xdr:row>1</xdr:row>
      <xdr:rowOff>40822</xdr:rowOff>
    </xdr:from>
    <xdr:to>
      <xdr:col>8</xdr:col>
      <xdr:colOff>1088572</xdr:colOff>
      <xdr:row>5</xdr:row>
      <xdr:rowOff>54428</xdr:rowOff>
    </xdr:to>
    <xdr:pic>
      <xdr:nvPicPr>
        <xdr:cNvPr id="4" name="Imagem 3">
          <a:hlinkClick xmlns:r="http://schemas.openxmlformats.org/officeDocument/2006/relationships" r:id="rId1"/>
        </xdr:cNvPr>
        <xdr:cNvPicPr>
          <a:picLocks noChangeAspect="1"/>
        </xdr:cNvPicPr>
      </xdr:nvPicPr>
      <xdr:blipFill rotWithShape="1">
        <a:blip xmlns:r="http://schemas.openxmlformats.org/officeDocument/2006/relationships" r:embed="rId2"/>
        <a:srcRect l="12121" t="20203" r="15152" b="21211"/>
        <a:stretch/>
      </xdr:blipFill>
      <xdr:spPr>
        <a:xfrm>
          <a:off x="9157608" y="272143"/>
          <a:ext cx="979714" cy="789214"/>
        </a:xfrm>
        <a:prstGeom prst="rect">
          <a:avLst/>
        </a:prstGeom>
      </xdr:spPr>
    </xdr:pic>
    <xdr:clientData/>
  </xdr:twoCellAnchor>
  <xdr:twoCellAnchor editAs="oneCell">
    <xdr:from>
      <xdr:col>3</xdr:col>
      <xdr:colOff>27215</xdr:colOff>
      <xdr:row>0</xdr:row>
      <xdr:rowOff>68036</xdr:rowOff>
    </xdr:from>
    <xdr:to>
      <xdr:col>4</xdr:col>
      <xdr:colOff>585108</xdr:colOff>
      <xdr:row>7</xdr:row>
      <xdr:rowOff>1178</xdr:rowOff>
    </xdr:to>
    <xdr:pic macro="[0]!GERA_EMAIL">
      <xdr:nvPicPr>
        <xdr:cNvPr id="5" name="EMAIL" descr="Jochi - Ranking"/>
        <xdr:cNvPicPr>
          <a:picLocks noChangeAspect="1" noChangeArrowheads="1"/>
        </xdr:cNvPicPr>
      </xdr:nvPicPr>
      <xdr:blipFill>
        <a:blip xmlns:r="http://schemas.openxmlformats.org/officeDocument/2006/relationships" r:embed="rId3" cstate="print">
          <a:duotone>
            <a:schemeClr val="accent4">
              <a:shade val="45000"/>
              <a:satMod val="135000"/>
            </a:schemeClr>
            <a:prstClr val="white"/>
          </a:duotone>
          <a:extLst>
            <a:ext uri="{BEBA8EAE-BF5A-486C-A8C5-ECC9F3942E4B}">
              <a14:imgProps xmlns:a14="http://schemas.microsoft.com/office/drawing/2010/main">
                <a14:imgLayer r:embed="rId4">
                  <a14:imgEffect>
                    <a14:saturation sat="33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4435929" y="68036"/>
          <a:ext cx="1211036" cy="1209012"/>
        </a:xfrm>
        <a:prstGeom prst="rect">
          <a:avLst/>
        </a:prstGeom>
        <a:noFill/>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innerShdw blurRad="63500" dist="50800" dir="13500000">
                  <a:prstClr val="black">
                    <a:alpha val="50000"/>
                  </a:prstClr>
                </a:innerShdw>
              </a:effectLst>
            </a14:hiddenEffects>
          </a:ext>
        </a:extLst>
      </xdr:spPr>
    </xdr:pic>
    <xdr:clientData/>
  </xdr:twoCellAnchor>
</xdr:wsDr>
</file>

<file path=xl/tables/table1.xml><?xml version="1.0" encoding="utf-8"?>
<table xmlns="http://schemas.openxmlformats.org/spreadsheetml/2006/main" id="4" name="Pedidos" displayName="Pedidos" ref="A8:P35" headerRowDxfId="58" headerRowBorderDxfId="57" headerRowCellStyle="Título 3">
  <autoFilter ref="A8:P35"/>
  <tableColumns count="16">
    <tableColumn id="1" name="ID" totalsRowLabel="Total" dataDxfId="56">
      <calculatedColumnFormula>IF(Pedidos[[#This Row],[Itens]]&lt;&gt;"",ROW(1:1),"")</calculatedColumnFormula>
    </tableColumn>
    <tableColumn id="2" name="Itens" dataDxfId="55"/>
    <tableColumn id="11" name="Descrição" dataDxfId="54"/>
    <tableColumn id="3" name="Esboço" dataDxfId="53"/>
    <tableColumn id="4" name="Chave" dataDxfId="52"/>
    <tableColumn id="5" name="Status" dataDxfId="51"/>
    <tableColumn id="6" name="Nº Solicitação" dataDxfId="50"/>
    <tableColumn id="13" name="Valor total (R$)" dataDxfId="49" dataCellStyle="Moeda"/>
    <tableColumn id="14" name="Valor total (U$)" dataDxfId="48" dataCellStyle="Moeda"/>
    <tableColumn id="7" name="Data da solicitação" dataDxfId="47"/>
    <tableColumn id="8" name="Data da necessidade" dataDxfId="46"/>
    <tableColumn id="15" name="Prazo (dias)" dataDxfId="45"/>
    <tableColumn id="9" name="Data prevista" dataDxfId="44">
      <calculatedColumnFormula>IF(OR(Pedidos[[#This Row],[Data da solicitação]]="",Pedidos[[#This Row],[Prazo (dias)]]=""),"",Pedidos[[#This Row],[Data da solicitação]]+Pedidos[[#This Row],[Prazo (dias)]])</calculatedColumnFormula>
    </tableColumn>
    <tableColumn id="10" name="Data da entrega" dataDxfId="43"/>
    <tableColumn id="16" name="Titulo" dataDxfId="42"/>
    <tableColumn id="12" name="Observações" totalsRowFunction="count" dataDxfId="41"/>
  </tableColumns>
  <tableStyleInfo name="TableStyleLight20" showFirstColumn="1" showLastColumn="0" showRowStripes="1" showColumnStripes="0"/>
</table>
</file>

<file path=xl/tables/table2.xml><?xml version="1.0" encoding="utf-8"?>
<table xmlns="http://schemas.openxmlformats.org/spreadsheetml/2006/main" id="6" name="Itens_Nacionais" displayName="Itens_Nacionais" ref="B4:H10" totalsRowCount="1" headerRowDxfId="40" headerRowBorderDxfId="39" totalsRowBorderDxfId="38" headerRowCellStyle="Título 3">
  <autoFilter ref="B4:H9"/>
  <tableColumns count="7">
    <tableColumn id="1" name="item" totalsRowLabel="Total dos Itens Nacionais" totalsRowDxfId="37"/>
    <tableColumn id="2" name="Descrição" totalsRowDxfId="36"/>
    <tableColumn id="7" name="Colunas1" totalsRowDxfId="35"/>
    <tableColumn id="3" name="QTD" totalsRowDxfId="34"/>
    <tableColumn id="4" name="UN" totalsRowDxfId="33"/>
    <tableColumn id="5" name="Valor UN" dataDxfId="32" totalsRowDxfId="31" dataCellStyle="Moeda"/>
    <tableColumn id="6" name="Valor Total" totalsRowFunction="sum" dataDxfId="30" totalsRowDxfId="29" dataCellStyle="Moeda">
      <calculatedColumnFormula>G5*E5</calculatedColumnFormula>
    </tableColumn>
  </tableColumns>
  <tableStyleInfo name="TableStyleMedium6" showFirstColumn="0" showLastColumn="0" showRowStripes="1" showColumnStripes="0"/>
</table>
</file>

<file path=xl/tables/table3.xml><?xml version="1.0" encoding="utf-8"?>
<table xmlns="http://schemas.openxmlformats.org/spreadsheetml/2006/main" id="7" name="Itens_Importados" displayName="Itens_Importados" ref="B13:H17" totalsRowCount="1" headerRowDxfId="28" dataDxfId="26" headerRowBorderDxfId="27" headerRowCellStyle="Título 3">
  <autoFilter ref="B13:H16"/>
  <tableColumns count="7">
    <tableColumn id="1" name="item" totalsRowLabel="Total itens Importados" dataDxfId="25"/>
    <tableColumn id="2" name="Descrição" dataDxfId="24"/>
    <tableColumn id="3" name="QTD" dataDxfId="23"/>
    <tableColumn id="4" name="UN" dataDxfId="22"/>
    <tableColumn id="5" name="Valor UN" dataDxfId="21" dataCellStyle="Moeda"/>
    <tableColumn id="7" name="Total U$" totalsRowFunction="custom" dataDxfId="20" totalsRowDxfId="19" dataCellStyle="Porcentagem">
      <calculatedColumnFormula>Itens_Importados[[#This Row],[Valor UN]]*Itens_Importados[QTD]</calculatedColumnFormula>
      <totalsRowFormula>SUM(Itens_Importados[Total U$])</totalsRowFormula>
    </tableColumn>
    <tableColumn id="6" name="Total R$" totalsRowFunction="custom" dataDxfId="18" totalsRowDxfId="17" dataCellStyle="Moeda">
      <calculatedColumnFormula>Itens_Importados[[#This Row],[Total U$]]*$G$24</calculatedColumnFormula>
      <totalsRowFormula>SUM(Itens_Importados[Total R$])</totalsRowFormula>
    </tableColumn>
  </tableColumns>
  <tableStyleInfo name="TableStyleLight7" showFirstColumn="0" showLastColumn="0" showRowStripes="1" showColumnStripes="0"/>
</table>
</file>

<file path=xl/tables/table4.xml><?xml version="1.0" encoding="utf-8"?>
<table xmlns="http://schemas.openxmlformats.org/spreadsheetml/2006/main" id="2" name="Itens_Importados3" displayName="Itens_Importados3" ref="B4:H8" totalsRowCount="1" headerRowDxfId="16" dataDxfId="14" headerRowBorderDxfId="15" headerRowCellStyle="Título 3">
  <autoFilter ref="B4:H7"/>
  <tableColumns count="7">
    <tableColumn id="1" name="item" totalsRowLabel="Total itens Importados" dataDxfId="13" totalsRowDxfId="12"/>
    <tableColumn id="2" name="Descrição" dataDxfId="11" totalsRowDxfId="10"/>
    <tableColumn id="3" name="QTD" dataDxfId="9" totalsRowDxfId="8"/>
    <tableColumn id="4" name="UN" dataDxfId="7" totalsRowDxfId="6"/>
    <tableColumn id="5" name="Valor UN" dataDxfId="5" totalsRowDxfId="4" dataCellStyle="Moeda"/>
    <tableColumn id="7" name="Total U$" totalsRowFunction="custom" dataDxfId="3" totalsRowDxfId="2" dataCellStyle="Porcentagem">
      <calculatedColumnFormula>Itens_Importados3[[#This Row],[Valor UN]]*Itens_Importados3[QTD]</calculatedColumnFormula>
      <totalsRowFormula>SUM(Itens_Importados3[Total U$])</totalsRowFormula>
    </tableColumn>
    <tableColumn id="6" name="Total R$" totalsRowFunction="custom" dataDxfId="1" totalsRowDxfId="0" dataCellStyle="Moeda">
      <calculatedColumnFormula>Itens_Importados3[[#This Row],[Total U$]]*$G$15</calculatedColumnFormula>
      <totalsRowFormula>SUM(Itens_Importados3[Total R$])</totalsRowFormula>
    </tableColumn>
  </tableColumns>
  <tableStyleInfo name="TableStyleLight7"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digitalled.com.br/refletores-de-led/refletor-de-led-para-campo-quadra-100w-ip68-n2-um-modulo-modelo-2021?parceiro=5222&amp;gclid=EAIaIQobChMIoYGd8ICP9wIVFTKRCh3K2QYUEAQYECABEgK-JPD_BwE" TargetMode="External"/><Relationship Id="rId2" Type="http://schemas.openxmlformats.org/officeDocument/2006/relationships/hyperlink" Target="mailto:charles.anderle@metaltork.com.br" TargetMode="External"/><Relationship Id="rId1" Type="http://schemas.openxmlformats.org/officeDocument/2006/relationships/hyperlink" Target="mailto:torres@metaltork.com.br"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U58"/>
  <sheetViews>
    <sheetView showGridLines="0" tabSelected="1" topLeftCell="A34" zoomScale="70" zoomScaleNormal="70" workbookViewId="0">
      <selection activeCell="C35" sqref="C35"/>
    </sheetView>
  </sheetViews>
  <sheetFormatPr defaultRowHeight="15" x14ac:dyDescent="0.25"/>
  <cols>
    <col min="1" max="1" width="5" style="3" customWidth="1"/>
    <col min="2" max="2" width="12" style="15" customWidth="1"/>
    <col min="3" max="3" width="49" style="76" customWidth="1"/>
    <col min="4" max="4" width="9.7109375" style="3" customWidth="1"/>
    <col min="5" max="5" width="9.85546875" style="3" customWidth="1"/>
    <col min="6" max="6" width="17.7109375" style="3" customWidth="1"/>
    <col min="7" max="7" width="16.42578125" style="3" customWidth="1"/>
    <col min="8" max="8" width="24.28515625" style="78" customWidth="1"/>
    <col min="9" max="9" width="16.7109375" style="16" customWidth="1"/>
    <col min="10" max="10" width="15.7109375" style="3" customWidth="1"/>
    <col min="11" max="11" width="16.42578125" style="3" customWidth="1"/>
    <col min="12" max="12" width="15.85546875" style="3" customWidth="1"/>
    <col min="13" max="13" width="14.7109375" style="3" customWidth="1"/>
    <col min="14" max="14" width="16.140625" style="3" customWidth="1"/>
    <col min="15" max="15" width="74.85546875" style="76" customWidth="1"/>
    <col min="16" max="16" width="69.28515625" customWidth="1"/>
  </cols>
  <sheetData>
    <row r="1" spans="1:21" ht="18" thickBot="1" x14ac:dyDescent="0.3">
      <c r="B1" s="83" t="s">
        <v>118</v>
      </c>
      <c r="C1" s="84" t="s">
        <v>121</v>
      </c>
      <c r="F1" s="4" t="s">
        <v>22</v>
      </c>
      <c r="G1" s="93" t="s">
        <v>15</v>
      </c>
      <c r="H1" s="93"/>
      <c r="I1" s="3"/>
    </row>
    <row r="2" spans="1:21" ht="15.75" thickTop="1" x14ac:dyDescent="0.25">
      <c r="B2" s="85" t="s">
        <v>119</v>
      </c>
      <c r="C2" s="86" t="s">
        <v>122</v>
      </c>
      <c r="F2" s="77" t="s">
        <v>36</v>
      </c>
      <c r="G2" s="92" t="s">
        <v>43</v>
      </c>
      <c r="H2" s="92"/>
      <c r="I2" s="3"/>
      <c r="L2"/>
    </row>
    <row r="3" spans="1:21" x14ac:dyDescent="0.25">
      <c r="B3" s="85" t="s">
        <v>120</v>
      </c>
      <c r="C3" s="87" t="s">
        <v>123</v>
      </c>
      <c r="F3" s="77" t="s">
        <v>46</v>
      </c>
      <c r="G3" s="92" t="s">
        <v>47</v>
      </c>
      <c r="H3" s="92"/>
      <c r="I3" s="3"/>
    </row>
    <row r="4" spans="1:21" x14ac:dyDescent="0.25">
      <c r="F4" s="77" t="s">
        <v>23</v>
      </c>
      <c r="G4" s="92" t="s">
        <v>45</v>
      </c>
      <c r="H4" s="92"/>
      <c r="I4" s="3"/>
    </row>
    <row r="5" spans="1:21" x14ac:dyDescent="0.25">
      <c r="F5" s="77" t="s">
        <v>24</v>
      </c>
      <c r="G5" s="92" t="s">
        <v>42</v>
      </c>
      <c r="H5" s="92"/>
      <c r="I5" s="3"/>
    </row>
    <row r="6" spans="1:21" x14ac:dyDescent="0.25">
      <c r="F6" s="77" t="s">
        <v>74</v>
      </c>
      <c r="G6" s="92" t="s">
        <v>75</v>
      </c>
      <c r="H6" s="92"/>
      <c r="I6" s="3"/>
    </row>
    <row r="7" spans="1:21" ht="6" customHeight="1" x14ac:dyDescent="0.25"/>
    <row r="8" spans="1:21" s="19" customFormat="1" ht="32.25" customHeight="1" thickBot="1" x14ac:dyDescent="0.3">
      <c r="A8" s="6" t="s">
        <v>41</v>
      </c>
      <c r="B8" s="6" t="s">
        <v>21</v>
      </c>
      <c r="C8" s="7" t="s">
        <v>15</v>
      </c>
      <c r="D8" s="6" t="s">
        <v>0</v>
      </c>
      <c r="E8" s="6" t="s">
        <v>17</v>
      </c>
      <c r="F8" s="6" t="s">
        <v>22</v>
      </c>
      <c r="G8" s="6" t="s">
        <v>18</v>
      </c>
      <c r="H8" s="13" t="s">
        <v>77</v>
      </c>
      <c r="I8" s="17" t="s">
        <v>76</v>
      </c>
      <c r="J8" s="6" t="s">
        <v>37</v>
      </c>
      <c r="K8" s="6" t="s">
        <v>38</v>
      </c>
      <c r="L8" s="6" t="s">
        <v>115</v>
      </c>
      <c r="M8" s="6" t="s">
        <v>39</v>
      </c>
      <c r="N8" s="6" t="s">
        <v>40</v>
      </c>
      <c r="O8" s="6" t="s">
        <v>125</v>
      </c>
      <c r="P8" s="7" t="s">
        <v>20</v>
      </c>
    </row>
    <row r="9" spans="1:21" ht="30" x14ac:dyDescent="0.25">
      <c r="A9" s="3">
        <f>IF(Pedidos[[#This Row],[Itens]]&lt;&gt;"",ROW(1:1),"")</f>
        <v>1</v>
      </c>
      <c r="B9" s="15" t="s">
        <v>80</v>
      </c>
      <c r="C9" s="76" t="s">
        <v>64</v>
      </c>
      <c r="D9" s="3">
        <v>637</v>
      </c>
      <c r="E9" s="3">
        <v>2677</v>
      </c>
      <c r="F9" s="3" t="s">
        <v>24</v>
      </c>
      <c r="G9" s="3">
        <v>664</v>
      </c>
      <c r="H9" s="79">
        <v>14300</v>
      </c>
      <c r="I9" s="18"/>
      <c r="J9" s="5"/>
      <c r="L9" s="3">
        <v>75</v>
      </c>
      <c r="M9" s="5" t="str">
        <f>IF(OR(Pedidos[[#This Row],[Data da solicitação]]="",Pedidos[[#This Row],[Prazo (dias)]]=""),"",Pedidos[[#This Row],[Data da solicitação]]+Pedidos[[#This Row],[Prazo (dias)]])</f>
        <v/>
      </c>
      <c r="O9" s="15" t="s">
        <v>27</v>
      </c>
      <c r="P9" s="76" t="s">
        <v>27</v>
      </c>
      <c r="S9" s="1"/>
      <c r="U9" s="2"/>
    </row>
    <row r="10" spans="1:21" ht="45" x14ac:dyDescent="0.25">
      <c r="A10" s="3">
        <f>IF(Pedidos[[#This Row],[Itens]]&lt;&gt;"",ROW(2:2),"")</f>
        <v>2</v>
      </c>
      <c r="B10" s="15" t="s">
        <v>79</v>
      </c>
      <c r="C10" s="76" t="s">
        <v>67</v>
      </c>
      <c r="D10" s="3">
        <v>637</v>
      </c>
      <c r="E10" s="3">
        <v>2683</v>
      </c>
      <c r="F10" s="3" t="s">
        <v>23</v>
      </c>
      <c r="H10" s="78">
        <v>73400</v>
      </c>
      <c r="J10" s="5"/>
      <c r="L10" s="3">
        <v>100</v>
      </c>
      <c r="M10" s="5" t="str">
        <f>IF(OR(Pedidos[[#This Row],[Data da solicitação]]="",Pedidos[[#This Row],[Prazo (dias)]]=""),"",Pedidos[[#This Row],[Data da solicitação]]+Pedidos[[#This Row],[Prazo (dias)]])</f>
        <v/>
      </c>
      <c r="O10" s="15" t="s">
        <v>28</v>
      </c>
      <c r="P10" s="76" t="s">
        <v>28</v>
      </c>
      <c r="S10" s="1"/>
      <c r="U10" s="2"/>
    </row>
    <row r="11" spans="1:21" ht="30" x14ac:dyDescent="0.25">
      <c r="A11" s="3">
        <f>IF(Pedidos[[#This Row],[Itens]]&lt;&gt;"",ROW(3:3),"")</f>
        <v>3</v>
      </c>
      <c r="B11" s="15" t="s">
        <v>30</v>
      </c>
      <c r="C11" s="76" t="s">
        <v>65</v>
      </c>
      <c r="D11" s="3">
        <v>656</v>
      </c>
      <c r="E11" s="3">
        <v>2754</v>
      </c>
      <c r="F11" s="3" t="s">
        <v>23</v>
      </c>
      <c r="G11"/>
      <c r="I11" s="16">
        <v>8366.26</v>
      </c>
      <c r="J11" s="5"/>
      <c r="L11" s="3">
        <v>91</v>
      </c>
      <c r="M11" s="5" t="str">
        <f>IF(OR(Pedidos[[#This Row],[Data da solicitação]]="",Pedidos[[#This Row],[Prazo (dias)]]=""),"",Pedidos[[#This Row],[Data da solicitação]]+Pedidos[[#This Row],[Prazo (dias)]])</f>
        <v/>
      </c>
      <c r="O11" s="15" t="s">
        <v>29</v>
      </c>
      <c r="P11" s="76" t="s">
        <v>29</v>
      </c>
      <c r="S11" s="1"/>
      <c r="U11" s="2"/>
    </row>
    <row r="12" spans="1:21" ht="30" x14ac:dyDescent="0.25">
      <c r="A12" s="3">
        <f>IF(Pedidos[[#This Row],[Itens]]&lt;&gt;"",ROW(4:4),"")</f>
        <v>4</v>
      </c>
      <c r="B12" s="15" t="s">
        <v>31</v>
      </c>
      <c r="C12" s="76" t="s">
        <v>73</v>
      </c>
      <c r="D12" s="3">
        <v>656</v>
      </c>
      <c r="E12" s="3">
        <v>2753</v>
      </c>
      <c r="F12" s="3" t="s">
        <v>24</v>
      </c>
      <c r="G12" s="3">
        <v>683</v>
      </c>
      <c r="H12" s="78">
        <v>101146.5</v>
      </c>
      <c r="J12" s="5">
        <v>44644</v>
      </c>
      <c r="L12" s="3">
        <v>60</v>
      </c>
      <c r="M12" s="5">
        <f>IF(OR(Pedidos[[#This Row],[Data da solicitação]]="",Pedidos[[#This Row],[Prazo (dias)]]=""),"",Pedidos[[#This Row],[Data da solicitação]]+Pedidos[[#This Row],[Prazo (dias)]])</f>
        <v>44704</v>
      </c>
      <c r="O12" s="15" t="s">
        <v>48</v>
      </c>
      <c r="P12" s="76" t="s">
        <v>48</v>
      </c>
      <c r="S12" s="1"/>
      <c r="U12" s="2"/>
    </row>
    <row r="13" spans="1:21" x14ac:dyDescent="0.25">
      <c r="A13" s="3">
        <f>IF(Pedidos[[#This Row],[Itens]]&lt;&gt;"",ROW(5:5),"")</f>
        <v>5</v>
      </c>
      <c r="B13" s="15" t="s">
        <v>32</v>
      </c>
      <c r="C13" s="76" t="s">
        <v>66</v>
      </c>
      <c r="D13" s="3">
        <v>664</v>
      </c>
      <c r="E13" s="3">
        <v>2828</v>
      </c>
      <c r="F13" s="3" t="s">
        <v>24</v>
      </c>
      <c r="G13" s="3">
        <v>684</v>
      </c>
      <c r="I13" s="16">
        <v>2233</v>
      </c>
      <c r="J13" s="5">
        <v>44644</v>
      </c>
      <c r="L13" s="3">
        <v>30</v>
      </c>
      <c r="M13" s="5">
        <f>IF(OR(Pedidos[[#This Row],[Data da solicitação]]="",Pedidos[[#This Row],[Prazo (dias)]]=""),"",Pedidos[[#This Row],[Data da solicitação]]+Pedidos[[#This Row],[Prazo (dias)]])</f>
        <v>44674</v>
      </c>
      <c r="O13" s="15" t="s">
        <v>25</v>
      </c>
      <c r="P13" s="76" t="s">
        <v>25</v>
      </c>
      <c r="S13" s="1"/>
      <c r="U13" s="2"/>
    </row>
    <row r="14" spans="1:21" x14ac:dyDescent="0.25">
      <c r="A14" s="3">
        <f>IF(Pedidos[[#This Row],[Itens]]&lt;&gt;"",ROW(6:6),"")</f>
        <v>6</v>
      </c>
      <c r="B14" s="15" t="s">
        <v>33</v>
      </c>
      <c r="C14" s="76" t="s">
        <v>68</v>
      </c>
      <c r="D14" s="3">
        <v>665</v>
      </c>
      <c r="E14" s="3">
        <v>2835</v>
      </c>
      <c r="F14" s="3" t="s">
        <v>24</v>
      </c>
      <c r="G14" s="3">
        <v>819</v>
      </c>
      <c r="H14" s="78">
        <v>320</v>
      </c>
      <c r="J14" s="5">
        <v>44659</v>
      </c>
      <c r="L14" s="3">
        <v>10</v>
      </c>
      <c r="M14" s="5">
        <f>IF(OR(Pedidos[[#This Row],[Data da solicitação]]="",Pedidos[[#This Row],[Prazo (dias)]]=""),"",Pedidos[[#This Row],[Data da solicitação]]+Pedidos[[#This Row],[Prazo (dias)]])</f>
        <v>44669</v>
      </c>
      <c r="O14" s="15" t="s">
        <v>26</v>
      </c>
      <c r="P14" s="76" t="s">
        <v>26</v>
      </c>
      <c r="S14" s="1"/>
      <c r="U14" s="2"/>
    </row>
    <row r="15" spans="1:21" x14ac:dyDescent="0.25">
      <c r="A15" s="3">
        <f>IF(Pedidos[[#This Row],[Itens]]&lt;&gt;"",ROW(7:7),"")</f>
        <v>7</v>
      </c>
      <c r="B15" s="15" t="s">
        <v>19</v>
      </c>
      <c r="C15" s="76" t="s">
        <v>69</v>
      </c>
      <c r="D15" s="3">
        <v>665</v>
      </c>
      <c r="E15" s="3">
        <v>2838</v>
      </c>
      <c r="F15" s="3" t="s">
        <v>24</v>
      </c>
      <c r="G15" s="3">
        <v>686</v>
      </c>
      <c r="J15" s="5">
        <v>44644</v>
      </c>
      <c r="K15" s="5">
        <v>44651</v>
      </c>
      <c r="L15" s="5"/>
      <c r="M15" s="5" t="str">
        <f>IF(OR(Pedidos[[#This Row],[Data da solicitação]]="",Pedidos[[#This Row],[Prazo (dias)]]=""),"",Pedidos[[#This Row],[Data da solicitação]]+Pedidos[[#This Row],[Prazo (dias)]])</f>
        <v/>
      </c>
      <c r="O15" s="15" t="s">
        <v>34</v>
      </c>
      <c r="P15" s="76" t="s">
        <v>34</v>
      </c>
    </row>
    <row r="16" spans="1:21" x14ac:dyDescent="0.25">
      <c r="A16" s="3">
        <f>IF(Pedidos[[#This Row],[Itens]]&lt;&gt;"",ROW(8:8),"")</f>
        <v>8</v>
      </c>
      <c r="B16" s="15" t="s">
        <v>35</v>
      </c>
      <c r="C16" s="76" t="s">
        <v>70</v>
      </c>
      <c r="D16" s="3">
        <v>687</v>
      </c>
      <c r="E16" s="3">
        <v>2896</v>
      </c>
      <c r="F16" s="3" t="s">
        <v>24</v>
      </c>
      <c r="G16" s="3">
        <v>820</v>
      </c>
      <c r="H16" s="78">
        <v>1785</v>
      </c>
      <c r="J16" s="5">
        <v>44659</v>
      </c>
      <c r="M16" s="5" t="str">
        <f>IF(OR(Pedidos[[#This Row],[Data da solicitação]]="",Pedidos[[#This Row],[Prazo (dias)]]=""),"",Pedidos[[#This Row],[Data da solicitação]]+Pedidos[[#This Row],[Prazo (dias)]])</f>
        <v/>
      </c>
      <c r="O16" s="15" t="s">
        <v>44</v>
      </c>
      <c r="P16" s="76" t="s">
        <v>44</v>
      </c>
    </row>
    <row r="17" spans="1:16" ht="45" x14ac:dyDescent="0.25">
      <c r="A17" s="3">
        <f>IF(Pedidos[[#This Row],[Itens]]&lt;&gt;"",ROW(9:9),"")</f>
        <v>9</v>
      </c>
      <c r="B17" s="15" t="s">
        <v>78</v>
      </c>
      <c r="C17" s="76" t="s">
        <v>71</v>
      </c>
      <c r="D17" s="3">
        <v>686</v>
      </c>
      <c r="E17" s="3">
        <v>2893</v>
      </c>
      <c r="F17" s="3" t="s">
        <v>46</v>
      </c>
      <c r="I17" s="16">
        <v>17927.98</v>
      </c>
      <c r="J17" s="5"/>
      <c r="M17" s="5" t="str">
        <f>IF(OR(Pedidos[[#This Row],[Data da solicitação]]="",Pedidos[[#This Row],[Prazo (dias)]]=""),"",Pedidos[[#This Row],[Data da solicitação]]+Pedidos[[#This Row],[Prazo (dias)]])</f>
        <v/>
      </c>
      <c r="O17" s="15" t="s">
        <v>63</v>
      </c>
      <c r="P17" s="76" t="s">
        <v>63</v>
      </c>
    </row>
    <row r="18" spans="1:16" x14ac:dyDescent="0.25">
      <c r="A18" s="3">
        <f>IF(Pedidos[[#This Row],[Itens]]&lt;&gt;"",ROW(10:10),"")</f>
        <v>10</v>
      </c>
      <c r="B18" s="15" t="s">
        <v>61</v>
      </c>
      <c r="C18" s="76" t="s">
        <v>72</v>
      </c>
      <c r="D18" s="3">
        <v>696</v>
      </c>
      <c r="E18" s="3">
        <v>2965</v>
      </c>
      <c r="F18" s="3" t="s">
        <v>24</v>
      </c>
      <c r="G18" s="3">
        <v>821</v>
      </c>
      <c r="H18" s="80">
        <v>5880</v>
      </c>
      <c r="J18" s="5">
        <v>44659</v>
      </c>
      <c r="L18" s="3">
        <v>30</v>
      </c>
      <c r="M18" s="5">
        <f>IF(OR(Pedidos[[#This Row],[Data da solicitação]]="",Pedidos[[#This Row],[Prazo (dias)]]=""),"",Pedidos[[#This Row],[Data da solicitação]]+Pedidos[[#This Row],[Prazo (dias)]])</f>
        <v>44689</v>
      </c>
      <c r="O18" s="15" t="s">
        <v>62</v>
      </c>
      <c r="P18" s="76" t="s">
        <v>62</v>
      </c>
    </row>
    <row r="19" spans="1:16" ht="90" x14ac:dyDescent="0.25">
      <c r="A19" s="3">
        <f>IF(Pedidos[[#This Row],[Itens]]&lt;&gt;"",ROW(11:11),"")</f>
        <v>11</v>
      </c>
      <c r="B19" s="15" t="s">
        <v>82</v>
      </c>
      <c r="C19" s="76" t="s">
        <v>81</v>
      </c>
      <c r="D19" s="15" t="s">
        <v>86</v>
      </c>
      <c r="F19" s="3" t="s">
        <v>24</v>
      </c>
      <c r="G19" s="3">
        <v>713</v>
      </c>
      <c r="H19" s="80"/>
      <c r="J19" s="5"/>
      <c r="M19" s="5" t="str">
        <f>IF(OR(Pedidos[[#This Row],[Data da solicitação]]="",Pedidos[[#This Row],[Prazo (dias)]]=""),"",Pedidos[[#This Row],[Data da solicitação]]+Pedidos[[#This Row],[Prazo (dias)]])</f>
        <v/>
      </c>
      <c r="O19" s="15" t="s">
        <v>85</v>
      </c>
      <c r="P19" s="76" t="s">
        <v>85</v>
      </c>
    </row>
    <row r="20" spans="1:16" ht="90" x14ac:dyDescent="0.25">
      <c r="A20" s="3">
        <f>IF(Pedidos[[#This Row],[Itens]]&lt;&gt;"",ROW(12:12),"")</f>
        <v>12</v>
      </c>
      <c r="B20" s="15" t="s">
        <v>19</v>
      </c>
      <c r="C20" s="74" t="s">
        <v>69</v>
      </c>
      <c r="D20" s="15" t="s">
        <v>86</v>
      </c>
      <c r="F20" s="3" t="s">
        <v>24</v>
      </c>
      <c r="G20" s="3">
        <v>728</v>
      </c>
      <c r="H20" s="80">
        <v>1910</v>
      </c>
      <c r="I20" s="73"/>
      <c r="J20" s="5">
        <f ca="1">IF(Pedidos[[#This Row],[Status]]="ABERTO",TODAY(),"")</f>
        <v>44669</v>
      </c>
      <c r="M20" s="5" t="str">
        <f ca="1">IF(OR(Pedidos[[#This Row],[Data da solicitação]]="",Pedidos[[#This Row],[Prazo (dias)]]=""),"",Pedidos[[#This Row],[Data da solicitação]]+Pedidos[[#This Row],[Prazo (dias)]])</f>
        <v/>
      </c>
      <c r="O20" s="15" t="s">
        <v>96</v>
      </c>
      <c r="P20" s="76" t="s">
        <v>96</v>
      </c>
    </row>
    <row r="21" spans="1:16" ht="90" x14ac:dyDescent="0.25">
      <c r="A21" s="3">
        <f>IF(Pedidos[[#This Row],[Itens]]&lt;&gt;"",ROW(13:13),"")</f>
        <v>13</v>
      </c>
      <c r="B21" s="15" t="s">
        <v>98</v>
      </c>
      <c r="C21" s="76" t="s">
        <v>99</v>
      </c>
      <c r="D21" s="15" t="s">
        <v>86</v>
      </c>
      <c r="F21" s="3" t="s">
        <v>24</v>
      </c>
      <c r="G21" s="3">
        <v>736</v>
      </c>
      <c r="H21" s="80"/>
      <c r="I21" s="73"/>
      <c r="J21" s="81">
        <v>44624</v>
      </c>
      <c r="M21" s="5" t="str">
        <f>IF(OR(Pedidos[[#This Row],[Data da solicitação]]="",Pedidos[[#This Row],[Prazo (dias)]]=""),"",Pedidos[[#This Row],[Data da solicitação]]+Pedidos[[#This Row],[Prazo (dias)]])</f>
        <v/>
      </c>
      <c r="O21" s="15" t="s">
        <v>100</v>
      </c>
      <c r="P21" s="76" t="s">
        <v>100</v>
      </c>
    </row>
    <row r="22" spans="1:16" ht="135" x14ac:dyDescent="0.25">
      <c r="A22" s="3">
        <f>IF(Pedidos[[#This Row],[Itens]]&lt;&gt;"",ROW(14:14),"")</f>
        <v>14</v>
      </c>
      <c r="B22" s="15" t="s">
        <v>101</v>
      </c>
      <c r="C22" s="76" t="s">
        <v>102</v>
      </c>
      <c r="D22" s="3">
        <v>758</v>
      </c>
      <c r="E22" s="3">
        <v>3156</v>
      </c>
      <c r="F22" s="3" t="s">
        <v>74</v>
      </c>
      <c r="G22" s="3">
        <v>771</v>
      </c>
      <c r="H22" s="80"/>
      <c r="I22" s="14"/>
      <c r="J22" s="5">
        <v>44624</v>
      </c>
      <c r="M22" s="5" t="str">
        <f>IF(OR(Pedidos[[#This Row],[Data da solicitação]]="",Pedidos[[#This Row],[Prazo (dias)]]=""),"",Pedidos[[#This Row],[Data da solicitação]]+Pedidos[[#This Row],[Prazo (dias)]])</f>
        <v/>
      </c>
      <c r="N22" s="5">
        <v>44658</v>
      </c>
      <c r="O22" s="88" t="s">
        <v>103</v>
      </c>
      <c r="P22" s="76" t="s">
        <v>103</v>
      </c>
    </row>
    <row r="23" spans="1:16" ht="90" x14ac:dyDescent="0.25">
      <c r="A23" s="3">
        <f>IF(Pedidos[[#This Row],[Itens]]&lt;&gt;"",ROW(15:15),"")</f>
        <v>15</v>
      </c>
      <c r="B23" s="15" t="s">
        <v>19</v>
      </c>
      <c r="C23" s="74" t="s">
        <v>69</v>
      </c>
      <c r="D23" s="15" t="s">
        <v>86</v>
      </c>
      <c r="F23" s="3" t="s">
        <v>74</v>
      </c>
      <c r="G23" s="3">
        <v>781</v>
      </c>
      <c r="H23" s="80">
        <v>16500</v>
      </c>
      <c r="I23" s="73"/>
      <c r="J23" s="5">
        <v>44656</v>
      </c>
      <c r="M23" s="5" t="str">
        <f>IF(OR(Pedidos[[#This Row],[Data da solicitação]]="",Pedidos[[#This Row],[Prazo (dias)]]=""),"",Pedidos[[#This Row],[Data da solicitação]]+Pedidos[[#This Row],[Prazo (dias)]])</f>
        <v/>
      </c>
      <c r="O23" s="15" t="s">
        <v>111</v>
      </c>
      <c r="P23" s="76" t="s">
        <v>111</v>
      </c>
    </row>
    <row r="24" spans="1:16" ht="90" x14ac:dyDescent="0.25">
      <c r="A24" s="3">
        <f>IF(Pedidos[[#This Row],[Itens]]&lt;&gt;"",ROW(16:16),"")</f>
        <v>16</v>
      </c>
      <c r="B24" s="15" t="s">
        <v>112</v>
      </c>
      <c r="C24" s="76" t="s">
        <v>113</v>
      </c>
      <c r="D24" s="15" t="s">
        <v>86</v>
      </c>
      <c r="F24" s="3" t="s">
        <v>24</v>
      </c>
      <c r="G24" s="3">
        <v>798</v>
      </c>
      <c r="H24" s="80">
        <v>1859.36</v>
      </c>
      <c r="I24" s="73"/>
      <c r="J24" s="5">
        <v>44658</v>
      </c>
      <c r="M24" s="5" t="str">
        <f>IF(OR(Pedidos[[#This Row],[Data da solicitação]]="",Pedidos[[#This Row],[Prazo (dias)]]=""),"",Pedidos[[#This Row],[Data da solicitação]]+Pedidos[[#This Row],[Prazo (dias)]])</f>
        <v/>
      </c>
      <c r="O24" s="15" t="s">
        <v>114</v>
      </c>
      <c r="P24" s="76" t="s">
        <v>114</v>
      </c>
    </row>
    <row r="25" spans="1:16" ht="195" x14ac:dyDescent="0.25">
      <c r="A25" s="3">
        <f>IF(Pedidos[[#This Row],[Itens]]&lt;&gt;"",ROW(17:17),"")</f>
        <v>17</v>
      </c>
      <c r="B25" s="15" t="s">
        <v>109</v>
      </c>
      <c r="C25" s="76" t="s">
        <v>110</v>
      </c>
      <c r="D25" s="15" t="s">
        <v>86</v>
      </c>
      <c r="F25" s="3" t="s">
        <v>74</v>
      </c>
      <c r="G25" s="3">
        <v>786</v>
      </c>
      <c r="H25" s="80"/>
      <c r="I25" s="73"/>
      <c r="J25" s="5">
        <v>44657</v>
      </c>
      <c r="K25" s="5">
        <v>44659</v>
      </c>
      <c r="M25" s="5" t="str">
        <f>IF(OR(Pedidos[[#This Row],[Data da solicitação]]="",Pedidos[[#This Row],[Prazo (dias)]]=""),"",Pedidos[[#This Row],[Data da solicitação]]+Pedidos[[#This Row],[Prazo (dias)]])</f>
        <v/>
      </c>
      <c r="N25" s="5">
        <v>44659</v>
      </c>
      <c r="O25" s="88" t="s">
        <v>117</v>
      </c>
      <c r="P25" s="76" t="s">
        <v>117</v>
      </c>
    </row>
    <row r="26" spans="1:16" ht="90" x14ac:dyDescent="0.25">
      <c r="A26" s="3">
        <f>IF(Pedidos[[#This Row],[Itens]]&lt;&gt;"",ROW(18:18),"")</f>
        <v>18</v>
      </c>
      <c r="B26" s="15" t="s">
        <v>112</v>
      </c>
      <c r="C26" s="76" t="s">
        <v>113</v>
      </c>
      <c r="D26" s="15" t="s">
        <v>86</v>
      </c>
      <c r="F26" s="3" t="s">
        <v>24</v>
      </c>
      <c r="G26" s="3">
        <v>787</v>
      </c>
      <c r="H26" s="80">
        <v>16500</v>
      </c>
      <c r="I26" s="73"/>
      <c r="J26" s="5">
        <v>44657</v>
      </c>
      <c r="M26" s="5" t="str">
        <f>IF(OR(Pedidos[[#This Row],[Data da solicitação]]="",Pedidos[[#This Row],[Prazo (dias)]]=""),"",Pedidos[[#This Row],[Data da solicitação]]+Pedidos[[#This Row],[Prazo (dias)]])</f>
        <v/>
      </c>
      <c r="O26" s="15" t="s">
        <v>108</v>
      </c>
      <c r="P26" s="76" t="s">
        <v>108</v>
      </c>
    </row>
    <row r="27" spans="1:16" ht="90" x14ac:dyDescent="0.25">
      <c r="A27" s="3">
        <f>IF(Pedidos[[#This Row],[Itens]]&lt;&gt;"",ROW(19:19),"")</f>
        <v>19</v>
      </c>
      <c r="B27" s="15" t="s">
        <v>112</v>
      </c>
      <c r="C27" s="76" t="s">
        <v>113</v>
      </c>
      <c r="D27" s="15" t="s">
        <v>86</v>
      </c>
      <c r="F27" s="3" t="s">
        <v>24</v>
      </c>
      <c r="G27" s="3">
        <v>843</v>
      </c>
      <c r="H27" s="80">
        <v>2025.75</v>
      </c>
      <c r="I27" s="73"/>
      <c r="J27" s="5">
        <v>44662</v>
      </c>
      <c r="M27" s="5" t="str">
        <f>IF(OR(Pedidos[[#This Row],[Data da solicitação]]="",Pedidos[[#This Row],[Prazo (dias)]]=""),"",Pedidos[[#This Row],[Data da solicitação]]+Pedidos[[#This Row],[Prazo (dias)]])</f>
        <v/>
      </c>
      <c r="O27" s="76" t="s">
        <v>126</v>
      </c>
      <c r="P27" s="76" t="s">
        <v>126</v>
      </c>
    </row>
    <row r="28" spans="1:16" ht="90" x14ac:dyDescent="0.25">
      <c r="A28" s="3">
        <f>IF(Pedidos[[#This Row],[Itens]]&lt;&gt;"",ROW(20:20),"")</f>
        <v>20</v>
      </c>
      <c r="B28" s="15" t="s">
        <v>112</v>
      </c>
      <c r="C28" s="76" t="s">
        <v>113</v>
      </c>
      <c r="D28" s="15" t="s">
        <v>86</v>
      </c>
      <c r="F28" s="3" t="s">
        <v>24</v>
      </c>
      <c r="G28" s="3">
        <v>842</v>
      </c>
      <c r="H28" s="80">
        <v>1940</v>
      </c>
      <c r="I28" s="73"/>
      <c r="J28" s="5">
        <v>44662</v>
      </c>
      <c r="M28" s="3" t="str">
        <f>IF(OR(Pedidos[[#This Row],[Data da solicitação]]="",Pedidos[[#This Row],[Prazo (dias)]]=""),"",Pedidos[[#This Row],[Data da solicitação]]+Pedidos[[#This Row],[Prazo (dias)]])</f>
        <v/>
      </c>
      <c r="O28" s="15" t="s">
        <v>116</v>
      </c>
      <c r="P28" s="76" t="s">
        <v>116</v>
      </c>
    </row>
    <row r="29" spans="1:16" x14ac:dyDescent="0.25">
      <c r="A29" s="3">
        <f>IF(Pedidos[[#This Row],[Itens]]&lt;&gt;"",ROW(21:21),"")</f>
        <v>21</v>
      </c>
      <c r="B29" s="89" t="s">
        <v>187</v>
      </c>
      <c r="C29" s="82" t="s">
        <v>187</v>
      </c>
      <c r="F29" s="3" t="s">
        <v>24</v>
      </c>
      <c r="G29" s="3">
        <v>891</v>
      </c>
      <c r="H29" s="80"/>
      <c r="J29" s="5"/>
      <c r="M29" s="3" t="str">
        <f>IF(OR(Pedidos[[#This Row],[Data da solicitação]]="",Pedidos[[#This Row],[Prazo (dias)]]=""),"",Pedidos[[#This Row],[Data da solicitação]]+Pedidos[[#This Row],[Prazo (dias)]])</f>
        <v/>
      </c>
      <c r="O29" s="15" t="s">
        <v>117</v>
      </c>
      <c r="P29" s="76" t="s">
        <v>188</v>
      </c>
    </row>
    <row r="30" spans="1:16" ht="90" x14ac:dyDescent="0.25">
      <c r="A30" s="3">
        <f>IF(Pedidos[[#This Row],[Itens]]&lt;&gt;"",ROW(22:22),"")</f>
        <v>22</v>
      </c>
      <c r="B30" s="15" t="s">
        <v>128</v>
      </c>
      <c r="C30" s="76" t="s">
        <v>129</v>
      </c>
      <c r="D30" s="15" t="s">
        <v>86</v>
      </c>
      <c r="F30" s="3" t="s">
        <v>24</v>
      </c>
      <c r="G30" s="3">
        <v>887</v>
      </c>
      <c r="H30" s="80">
        <v>161.94999999999999</v>
      </c>
      <c r="J30" s="5">
        <v>44663</v>
      </c>
      <c r="M30" s="3" t="str">
        <f>IF(OR(Pedidos[[#This Row],[Data da solicitação]]="",Pedidos[[#This Row],[Prazo (dias)]]=""),"",Pedidos[[#This Row],[Data da solicitação]]+Pedidos[[#This Row],[Prazo (dias)]])</f>
        <v/>
      </c>
      <c r="O30" s="15" t="s">
        <v>127</v>
      </c>
      <c r="P30" s="82" t="s">
        <v>124</v>
      </c>
    </row>
    <row r="31" spans="1:16" ht="90" x14ac:dyDescent="0.25">
      <c r="A31" s="3">
        <f>IF(Pedidos[[#This Row],[Itens]]&lt;&gt;"",ROW(23:23),"")</f>
        <v>23</v>
      </c>
      <c r="B31" s="15" t="s">
        <v>112</v>
      </c>
      <c r="C31" s="76" t="s">
        <v>113</v>
      </c>
      <c r="D31" s="15" t="s">
        <v>86</v>
      </c>
      <c r="F31" s="3" t="s">
        <v>24</v>
      </c>
      <c r="G31" s="3">
        <v>889</v>
      </c>
      <c r="H31" s="80">
        <v>2000</v>
      </c>
      <c r="J31" s="5">
        <v>44663</v>
      </c>
      <c r="M31" s="3" t="str">
        <f>IF(OR(Pedidos[[#This Row],[Data da solicitação]]="",Pedidos[[#This Row],[Prazo (dias)]]=""),"",Pedidos[[#This Row],[Data da solicitação]]+Pedidos[[#This Row],[Prazo (dias)]])</f>
        <v/>
      </c>
      <c r="O31" s="15" t="s">
        <v>193</v>
      </c>
      <c r="P31" s="76" t="s">
        <v>198</v>
      </c>
    </row>
    <row r="32" spans="1:16" ht="90" x14ac:dyDescent="0.25">
      <c r="A32" s="3">
        <f>IF(Pedidos[[#This Row],[Itens]]&lt;&gt;"",ROW(24:24),"")</f>
        <v>24</v>
      </c>
      <c r="B32" s="15" t="s">
        <v>189</v>
      </c>
      <c r="C32" s="76" t="s">
        <v>190</v>
      </c>
      <c r="D32" s="15" t="s">
        <v>86</v>
      </c>
      <c r="F32" s="3" t="s">
        <v>24</v>
      </c>
      <c r="G32" s="3">
        <v>899</v>
      </c>
      <c r="H32" s="80">
        <v>610</v>
      </c>
      <c r="J32" s="5">
        <v>44664</v>
      </c>
      <c r="M32" s="3" t="str">
        <f>IF(OR(Pedidos[[#This Row],[Data da solicitação]]="",Pedidos[[#This Row],[Prazo (dias)]]=""),"",Pedidos[[#This Row],[Data da solicitação]]+Pedidos[[#This Row],[Prazo (dias)]])</f>
        <v/>
      </c>
      <c r="O32" s="15" t="s">
        <v>194</v>
      </c>
      <c r="P32" s="76" t="s">
        <v>197</v>
      </c>
    </row>
    <row r="33" spans="1:16" ht="90" x14ac:dyDescent="0.25">
      <c r="A33" s="3">
        <f>IF(Pedidos[[#This Row],[Itens]]&lt;&gt;"",ROW(25:25),"")</f>
        <v>25</v>
      </c>
      <c r="B33" s="15" t="s">
        <v>192</v>
      </c>
      <c r="C33" s="76" t="s">
        <v>191</v>
      </c>
      <c r="D33" s="15" t="s">
        <v>86</v>
      </c>
      <c r="F33" s="3" t="s">
        <v>24</v>
      </c>
      <c r="G33" s="3">
        <v>909</v>
      </c>
      <c r="H33" s="80">
        <v>2420</v>
      </c>
      <c r="I33" s="90"/>
      <c r="J33" s="5">
        <v>44665</v>
      </c>
      <c r="M33" s="3" t="str">
        <f>IF(OR(Pedidos[[#This Row],[Data da solicitação]]="",Pedidos[[#This Row],[Prazo (dias)]]=""),"",Pedidos[[#This Row],[Data da solicitação]]+Pedidos[[#This Row],[Prazo (dias)]])</f>
        <v/>
      </c>
      <c r="O33" s="15" t="s">
        <v>195</v>
      </c>
      <c r="P33" s="76" t="s">
        <v>196</v>
      </c>
    </row>
    <row r="34" spans="1:16" ht="90" x14ac:dyDescent="0.25">
      <c r="A34" s="3">
        <f>IF(Pedidos[[#This Row],[Itens]]&lt;&gt;"",ROW(26:26),"")</f>
        <v>26</v>
      </c>
      <c r="B34" s="15" t="s">
        <v>199</v>
      </c>
      <c r="C34" s="76" t="s">
        <v>200</v>
      </c>
      <c r="D34" s="15" t="s">
        <v>86</v>
      </c>
      <c r="F34" s="3" t="s">
        <v>24</v>
      </c>
      <c r="G34" s="3">
        <v>915</v>
      </c>
      <c r="H34" s="80"/>
      <c r="I34" s="90"/>
      <c r="J34" s="5">
        <v>44665</v>
      </c>
      <c r="M34" s="3" t="str">
        <f>IF(OR(Pedidos[[#This Row],[Data da solicitação]]="",Pedidos[[#This Row],[Prazo (dias)]]=""),"",Pedidos[[#This Row],[Data da solicitação]]+Pedidos[[#This Row],[Prazo (dias)]])</f>
        <v/>
      </c>
      <c r="O34" s="15" t="s">
        <v>201</v>
      </c>
      <c r="P34" s="76" t="s">
        <v>202</v>
      </c>
    </row>
    <row r="35" spans="1:16" ht="210" x14ac:dyDescent="0.25">
      <c r="A35" s="3">
        <f>IF(Pedidos[[#This Row],[Itens]]&lt;&gt;"",ROW(27:27),"")</f>
        <v>27</v>
      </c>
      <c r="B35" s="15" t="s">
        <v>203</v>
      </c>
      <c r="C35" s="76" t="s">
        <v>205</v>
      </c>
      <c r="D35" s="15" t="s">
        <v>86</v>
      </c>
      <c r="F35" s="3" t="s">
        <v>24</v>
      </c>
      <c r="G35" s="3">
        <v>950</v>
      </c>
      <c r="H35" s="80"/>
      <c r="I35" s="90"/>
      <c r="J35" s="5">
        <v>44669</v>
      </c>
      <c r="M35" s="3" t="str">
        <f>IF(OR(Pedidos[[#This Row],[Data da solicitação]]="",Pedidos[[#This Row],[Prazo (dias)]]=""),"",Pedidos[[#This Row],[Data da solicitação]]+Pedidos[[#This Row],[Prazo (dias)]])</f>
        <v/>
      </c>
      <c r="O35" s="15" t="s">
        <v>117</v>
      </c>
      <c r="P35" s="76" t="s">
        <v>204</v>
      </c>
    </row>
    <row r="36" spans="1:16" x14ac:dyDescent="0.25">
      <c r="B36" s="3"/>
      <c r="C36"/>
    </row>
    <row r="37" spans="1:16" x14ac:dyDescent="0.25">
      <c r="B37"/>
      <c r="C37"/>
    </row>
    <row r="38" spans="1:16" x14ac:dyDescent="0.25">
      <c r="B38"/>
      <c r="C38"/>
    </row>
    <row r="39" spans="1:16" x14ac:dyDescent="0.25">
      <c r="B39"/>
      <c r="C39"/>
    </row>
    <row r="40" spans="1:16" x14ac:dyDescent="0.25">
      <c r="B40"/>
      <c r="C40"/>
      <c r="J40" s="5"/>
      <c r="N40" s="5"/>
    </row>
    <row r="41" spans="1:16" x14ac:dyDescent="0.25">
      <c r="B41"/>
      <c r="C41"/>
      <c r="J41" s="5"/>
      <c r="N41" s="5"/>
    </row>
    <row r="42" spans="1:16" x14ac:dyDescent="0.25">
      <c r="B42"/>
      <c r="C42"/>
    </row>
    <row r="43" spans="1:16" x14ac:dyDescent="0.25">
      <c r="B43"/>
      <c r="C43"/>
    </row>
    <row r="44" spans="1:16" x14ac:dyDescent="0.25">
      <c r="B44"/>
      <c r="C44"/>
    </row>
    <row r="45" spans="1:16" x14ac:dyDescent="0.25">
      <c r="B45"/>
      <c r="C45"/>
      <c r="J45" s="5"/>
      <c r="N45" s="5"/>
    </row>
    <row r="46" spans="1:16" x14ac:dyDescent="0.25">
      <c r="B46"/>
      <c r="C46"/>
      <c r="J46" s="5"/>
    </row>
    <row r="47" spans="1:16" x14ac:dyDescent="0.25">
      <c r="B47"/>
      <c r="C47"/>
    </row>
    <row r="48" spans="1:16" x14ac:dyDescent="0.25">
      <c r="B48"/>
      <c r="C48"/>
    </row>
    <row r="49" spans="1:3" x14ac:dyDescent="0.25">
      <c r="B49"/>
      <c r="C49"/>
    </row>
    <row r="50" spans="1:3" x14ac:dyDescent="0.25">
      <c r="B50"/>
      <c r="C50"/>
    </row>
    <row r="51" spans="1:3" x14ac:dyDescent="0.25">
      <c r="B51"/>
      <c r="C51"/>
    </row>
    <row r="58" spans="1:3" x14ac:dyDescent="0.25">
      <c r="A58" s="91"/>
    </row>
  </sheetData>
  <mergeCells count="6">
    <mergeCell ref="G6:H6"/>
    <mergeCell ref="G1:H1"/>
    <mergeCell ref="G3:H3"/>
    <mergeCell ref="G4:H4"/>
    <mergeCell ref="G2:H2"/>
    <mergeCell ref="G5:H5"/>
  </mergeCells>
  <dataValidations count="1">
    <dataValidation type="list" allowBlank="1" showInputMessage="1" showErrorMessage="1" sqref="F9:F1048576">
      <formula1>$F$2:$F$6</formula1>
    </dataValidation>
  </dataValidations>
  <hyperlinks>
    <hyperlink ref="C2" r:id="rId1"/>
    <hyperlink ref="C3" r:id="rId2"/>
    <hyperlink ref="P30" r:id="rId3" display="https://www.digitalled.com.br/refletores-de-led/refletor-de-led-para-campo-quadra-100w-ip68-n2-um-modulo-modelo-2021?parceiro=5222&amp;gclid=EAIaIQobChMIoYGd8ICP9wIVFTKRCh3K2QYUEAQYECABEgK-JPD_BwE"/>
    <hyperlink ref="B29" location="'Solic 21'!A1" display="SOLIC 21"/>
    <hyperlink ref="C29" location="'Solic 21'!A1" display="SOLIC 21"/>
  </hyperlinks>
  <pageMargins left="0.511811024" right="0.511811024" top="0.78740157499999996" bottom="0.78740157499999996" header="0.31496062000000002" footer="0.31496062000000002"/>
  <pageSetup paperSize="9" orientation="portrait" r:id="rId4"/>
  <drawing r:id="rId5"/>
  <tableParts count="1">
    <tablePart r:id="rId6"/>
  </tableParts>
  <extLst>
    <ext xmlns:x14="http://schemas.microsoft.com/office/spreadsheetml/2009/9/main" uri="{78C0D931-6437-407d-A8EE-F0AAD7539E65}">
      <x14:conditionalFormattings>
        <x14:conditionalFormatting xmlns:xm="http://schemas.microsoft.com/office/excel/2006/main">
          <x14:cfRule type="beginsWith" priority="18" operator="beginsWith" id="{D31EE5FC-0574-4A47-8D87-00DF50C73C4C}">
            <xm:f>LEFT(F1,LEN($F$3))=$F$3</xm:f>
            <xm:f>$F$3</xm:f>
            <x14:dxf>
              <font>
                <b/>
                <i val="0"/>
                <color rgb="FFFFC000"/>
              </font>
            </x14:dxf>
          </x14:cfRule>
          <x14:cfRule type="beginsWith" priority="19" operator="beginsWith" id="{94A767E1-4C7E-4EB4-9B7E-8274EDED088F}">
            <xm:f>LEFT(F1,LEN($F$5))=$F$5</xm:f>
            <xm:f>$F$5</xm:f>
            <x14:dxf>
              <font>
                <b/>
                <i val="0"/>
                <color theme="9" tint="-0.24994659260841701"/>
              </font>
            </x14:dxf>
          </x14:cfRule>
          <x14:cfRule type="beginsWith" priority="20" operator="beginsWith" id="{09FE9A15-C88E-4D44-BFD9-5B43DBD0C35A}">
            <xm:f>LEFT(F1,LEN($F$4))=$F$4</xm:f>
            <xm:f>$F$4</xm:f>
            <x14:dxf>
              <font>
                <b/>
                <i val="0"/>
                <color theme="8" tint="-0.24994659260841701"/>
              </font>
            </x14:dxf>
          </x14:cfRule>
          <xm:sqref>F1:F5 F7:F25 F27 F29:F1048576</xm:sqref>
        </x14:conditionalFormatting>
        <x14:conditionalFormatting xmlns:xm="http://schemas.microsoft.com/office/excel/2006/main">
          <x14:cfRule type="beginsWith" priority="14" operator="beginsWith" id="{B08D2B78-DCBB-45D4-8AE9-7E6871D73F09}">
            <xm:f>LEFT(F6,LEN($F$3))=$F$3</xm:f>
            <xm:f>$F$3</xm:f>
            <x14:dxf>
              <font>
                <b/>
                <i val="0"/>
                <color rgb="FFFFC000"/>
              </font>
            </x14:dxf>
          </x14:cfRule>
          <x14:cfRule type="beginsWith" priority="15" operator="beginsWith" id="{23273B1C-E776-42F9-844D-C75ED384504A}">
            <xm:f>LEFT(F6,LEN($F$5))=$F$5</xm:f>
            <xm:f>$F$5</xm:f>
            <x14:dxf>
              <font>
                <b/>
                <i val="0"/>
                <color theme="9" tint="-0.24994659260841701"/>
              </font>
            </x14:dxf>
          </x14:cfRule>
          <x14:cfRule type="beginsWith" priority="16" operator="beginsWith" id="{FDBEAB92-8F6D-47E0-A725-2707A3358589}">
            <xm:f>LEFT(F6,LEN($F$4))=$F$4</xm:f>
            <xm:f>$F$4</xm:f>
            <x14:dxf>
              <font>
                <b/>
                <i val="0"/>
                <color theme="8" tint="-0.24994659260841701"/>
              </font>
            </x14:dxf>
          </x14:cfRule>
          <xm:sqref>F6</xm:sqref>
        </x14:conditionalFormatting>
        <x14:conditionalFormatting xmlns:xm="http://schemas.microsoft.com/office/excel/2006/main">
          <x14:cfRule type="endsWith" priority="11" operator="endsWith" id="{37E92AF1-5171-4A66-846C-C540B870384D}">
            <xm:f>RIGHT(F1,LEN($F$6))=$F$6</xm:f>
            <xm:f>$F$6</xm:f>
            <x14:dxf>
              <font>
                <b/>
                <i val="0"/>
                <color theme="6"/>
              </font>
            </x14:dxf>
          </x14:cfRule>
          <x14:cfRule type="beginsWith" priority="12" operator="beginsWith" id="{25E51E68-7E1E-452A-B44A-0E5169594BA2}">
            <xm:f>LEFT(F1,LEN($F$2))=$F$2</xm:f>
            <xm:f>$F$2</xm:f>
            <x14:dxf>
              <font>
                <b/>
                <i val="0"/>
                <color rgb="FFFF0000"/>
              </font>
            </x14:dxf>
          </x14:cfRule>
          <xm:sqref>F1:F25 F27 F29:F1048576</xm:sqref>
        </x14:conditionalFormatting>
        <x14:conditionalFormatting xmlns:xm="http://schemas.microsoft.com/office/excel/2006/main">
          <x14:cfRule type="beginsWith" priority="8" operator="beginsWith" id="{1F448FCD-B9D7-4690-A81B-CC7D525111EA}">
            <xm:f>LEFT(F26,LEN($F$3))=$F$3</xm:f>
            <xm:f>$F$3</xm:f>
            <x14:dxf>
              <font>
                <b/>
                <i val="0"/>
                <color rgb="FFFFC000"/>
              </font>
            </x14:dxf>
          </x14:cfRule>
          <x14:cfRule type="beginsWith" priority="9" operator="beginsWith" id="{0E689820-3A28-46C3-BA3D-D601DE95208E}">
            <xm:f>LEFT(F26,LEN($F$5))=$F$5</xm:f>
            <xm:f>$F$5</xm:f>
            <x14:dxf>
              <font>
                <b/>
                <i val="0"/>
                <color theme="9" tint="-0.24994659260841701"/>
              </font>
            </x14:dxf>
          </x14:cfRule>
          <x14:cfRule type="beginsWith" priority="10" operator="beginsWith" id="{AE3AC5BB-9556-4B92-B3A6-2BBB31419278}">
            <xm:f>LEFT(F26,LEN($F$4))=$F$4</xm:f>
            <xm:f>$F$4</xm:f>
            <x14:dxf>
              <font>
                <b/>
                <i val="0"/>
                <color theme="8" tint="-0.24994659260841701"/>
              </font>
            </x14:dxf>
          </x14:cfRule>
          <xm:sqref>F26</xm:sqref>
        </x14:conditionalFormatting>
        <x14:conditionalFormatting xmlns:xm="http://schemas.microsoft.com/office/excel/2006/main">
          <x14:cfRule type="endsWith" priority="6" operator="endsWith" id="{A2C750A6-A812-4B11-9179-A84F6F40BEFD}">
            <xm:f>RIGHT(F26,LEN($F$6))=$F$6</xm:f>
            <xm:f>$F$6</xm:f>
            <x14:dxf>
              <font>
                <b/>
                <i val="0"/>
                <color theme="6"/>
              </font>
            </x14:dxf>
          </x14:cfRule>
          <x14:cfRule type="beginsWith" priority="7" operator="beginsWith" id="{600C0316-0F91-423F-8044-C2D9F161A83E}">
            <xm:f>LEFT(F26,LEN($F$2))=$F$2</xm:f>
            <xm:f>$F$2</xm:f>
            <x14:dxf>
              <font>
                <b/>
                <i val="0"/>
                <color rgb="FFFF0000"/>
              </font>
            </x14:dxf>
          </x14:cfRule>
          <xm:sqref>F26</xm:sqref>
        </x14:conditionalFormatting>
        <x14:conditionalFormatting xmlns:xm="http://schemas.microsoft.com/office/excel/2006/main">
          <x14:cfRule type="beginsWith" priority="3" operator="beginsWith" id="{211FCC6A-DD5E-4394-B089-75EC6D8F9547}">
            <xm:f>LEFT(F28,LEN($F$3))=$F$3</xm:f>
            <xm:f>$F$3</xm:f>
            <x14:dxf>
              <font>
                <b/>
                <i val="0"/>
                <color rgb="FFFFC000"/>
              </font>
            </x14:dxf>
          </x14:cfRule>
          <x14:cfRule type="beginsWith" priority="4" operator="beginsWith" id="{BFE891EE-8176-49CF-8D50-FDB9A139DD9A}">
            <xm:f>LEFT(F28,LEN($F$5))=$F$5</xm:f>
            <xm:f>$F$5</xm:f>
            <x14:dxf>
              <font>
                <b/>
                <i val="0"/>
                <color theme="9" tint="-0.24994659260841701"/>
              </font>
            </x14:dxf>
          </x14:cfRule>
          <x14:cfRule type="beginsWith" priority="5" operator="beginsWith" id="{C5A64B95-0F7A-469A-B77B-03233251B480}">
            <xm:f>LEFT(F28,LEN($F$4))=$F$4</xm:f>
            <xm:f>$F$4</xm:f>
            <x14:dxf>
              <font>
                <b/>
                <i val="0"/>
                <color theme="8" tint="-0.24994659260841701"/>
              </font>
            </x14:dxf>
          </x14:cfRule>
          <xm:sqref>F28</xm:sqref>
        </x14:conditionalFormatting>
        <x14:conditionalFormatting xmlns:xm="http://schemas.microsoft.com/office/excel/2006/main">
          <x14:cfRule type="endsWith" priority="1" operator="endsWith" id="{A568E55E-D6E3-4F2C-8A60-0BED1924146E}">
            <xm:f>RIGHT(F28,LEN($F$6))=$F$6</xm:f>
            <xm:f>$F$6</xm:f>
            <x14:dxf>
              <font>
                <b/>
                <i val="0"/>
                <color theme="6"/>
              </font>
            </x14:dxf>
          </x14:cfRule>
          <x14:cfRule type="beginsWith" priority="2" operator="beginsWith" id="{449CDEC0-DCF4-4572-A2C4-41E4B0AAAC37}">
            <xm:f>LEFT(F28,LEN($F$2))=$F$2</xm:f>
            <xm:f>$F$2</xm:f>
            <x14:dxf>
              <font>
                <b/>
                <i val="0"/>
                <color rgb="FFFF0000"/>
              </font>
            </x14:dxf>
          </x14:cfRule>
          <xm:sqref>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E26"/>
  <sheetViews>
    <sheetView topLeftCell="A4" workbookViewId="0">
      <selection activeCell="E21" sqref="E21"/>
    </sheetView>
  </sheetViews>
  <sheetFormatPr defaultRowHeight="15" x14ac:dyDescent="0.25"/>
  <cols>
    <col min="2" max="2" width="53.5703125" bestFit="1" customWidth="1"/>
    <col min="3" max="3" width="14.28515625" bestFit="1" customWidth="1"/>
    <col min="4" max="4" width="12.42578125" bestFit="1" customWidth="1"/>
    <col min="5" max="5" width="19.42578125" bestFit="1" customWidth="1"/>
  </cols>
  <sheetData>
    <row r="1" spans="1:5" x14ac:dyDescent="0.25">
      <c r="A1" t="s">
        <v>130</v>
      </c>
      <c r="B1" t="s">
        <v>131</v>
      </c>
      <c r="C1" t="s">
        <v>132</v>
      </c>
      <c r="D1" t="s">
        <v>133</v>
      </c>
      <c r="E1" t="s">
        <v>134</v>
      </c>
    </row>
    <row r="2" spans="1:5" x14ac:dyDescent="0.25">
      <c r="A2" t="s">
        <v>135</v>
      </c>
      <c r="B2" t="s">
        <v>136</v>
      </c>
      <c r="C2">
        <v>1</v>
      </c>
      <c r="D2" t="s">
        <v>13</v>
      </c>
      <c r="E2" t="s">
        <v>137</v>
      </c>
    </row>
    <row r="3" spans="1:5" x14ac:dyDescent="0.25">
      <c r="A3" t="s">
        <v>138</v>
      </c>
      <c r="B3" t="s">
        <v>139</v>
      </c>
      <c r="C3">
        <v>6</v>
      </c>
      <c r="D3" t="s">
        <v>13</v>
      </c>
      <c r="E3" t="s">
        <v>137</v>
      </c>
    </row>
    <row r="4" spans="1:5" x14ac:dyDescent="0.25">
      <c r="A4" t="s">
        <v>140</v>
      </c>
      <c r="B4" t="s">
        <v>141</v>
      </c>
      <c r="C4">
        <v>20</v>
      </c>
      <c r="D4" t="s">
        <v>142</v>
      </c>
      <c r="E4" t="s">
        <v>137</v>
      </c>
    </row>
    <row r="5" spans="1:5" x14ac:dyDescent="0.25">
      <c r="A5" t="s">
        <v>143</v>
      </c>
      <c r="B5" t="s">
        <v>144</v>
      </c>
      <c r="C5">
        <v>1</v>
      </c>
      <c r="D5" t="s">
        <v>13</v>
      </c>
      <c r="E5" t="s">
        <v>137</v>
      </c>
    </row>
    <row r="6" spans="1:5" x14ac:dyDescent="0.25">
      <c r="A6" t="s">
        <v>145</v>
      </c>
      <c r="B6" t="s">
        <v>146</v>
      </c>
      <c r="C6">
        <v>5</v>
      </c>
      <c r="D6" t="s">
        <v>13</v>
      </c>
      <c r="E6" t="s">
        <v>137</v>
      </c>
    </row>
    <row r="7" spans="1:5" x14ac:dyDescent="0.25">
      <c r="A7" t="s">
        <v>147</v>
      </c>
      <c r="B7" t="s">
        <v>148</v>
      </c>
      <c r="C7">
        <v>1</v>
      </c>
      <c r="D7" t="s">
        <v>13</v>
      </c>
      <c r="E7" t="s">
        <v>137</v>
      </c>
    </row>
    <row r="8" spans="1:5" x14ac:dyDescent="0.25">
      <c r="A8" t="s">
        <v>149</v>
      </c>
      <c r="B8" t="s">
        <v>150</v>
      </c>
      <c r="C8">
        <v>6</v>
      </c>
      <c r="D8" t="s">
        <v>142</v>
      </c>
      <c r="E8" t="s">
        <v>137</v>
      </c>
    </row>
    <row r="9" spans="1:5" x14ac:dyDescent="0.25">
      <c r="A9" t="s">
        <v>151</v>
      </c>
      <c r="B9" t="s">
        <v>152</v>
      </c>
      <c r="C9">
        <v>3</v>
      </c>
      <c r="D9" t="s">
        <v>13</v>
      </c>
      <c r="E9" t="s">
        <v>137</v>
      </c>
    </row>
    <row r="10" spans="1:5" x14ac:dyDescent="0.25">
      <c r="A10" t="s">
        <v>153</v>
      </c>
      <c r="B10" t="s">
        <v>154</v>
      </c>
      <c r="C10">
        <v>2</v>
      </c>
      <c r="D10" t="s">
        <v>13</v>
      </c>
      <c r="E10" t="s">
        <v>137</v>
      </c>
    </row>
    <row r="11" spans="1:5" x14ac:dyDescent="0.25">
      <c r="A11" t="s">
        <v>155</v>
      </c>
      <c r="B11" t="s">
        <v>156</v>
      </c>
      <c r="C11">
        <v>7</v>
      </c>
      <c r="D11" t="s">
        <v>13</v>
      </c>
      <c r="E11" t="s">
        <v>137</v>
      </c>
    </row>
    <row r="12" spans="1:5" x14ac:dyDescent="0.25">
      <c r="A12" t="s">
        <v>157</v>
      </c>
      <c r="B12" t="s">
        <v>158</v>
      </c>
      <c r="C12">
        <v>1</v>
      </c>
      <c r="D12" t="s">
        <v>13</v>
      </c>
      <c r="E12" t="s">
        <v>137</v>
      </c>
    </row>
    <row r="13" spans="1:5" x14ac:dyDescent="0.25">
      <c r="A13" t="s">
        <v>159</v>
      </c>
      <c r="B13" t="s">
        <v>160</v>
      </c>
      <c r="C13">
        <v>1</v>
      </c>
      <c r="D13" t="s">
        <v>13</v>
      </c>
      <c r="E13" t="s">
        <v>137</v>
      </c>
    </row>
    <row r="14" spans="1:5" x14ac:dyDescent="0.25">
      <c r="A14" t="s">
        <v>161</v>
      </c>
      <c r="B14" t="s">
        <v>162</v>
      </c>
      <c r="C14">
        <v>3</v>
      </c>
      <c r="D14" t="s">
        <v>13</v>
      </c>
      <c r="E14" t="s">
        <v>137</v>
      </c>
    </row>
    <row r="15" spans="1:5" x14ac:dyDescent="0.25">
      <c r="A15" t="s">
        <v>163</v>
      </c>
      <c r="B15" t="s">
        <v>164</v>
      </c>
      <c r="C15">
        <v>5</v>
      </c>
      <c r="D15" t="s">
        <v>13</v>
      </c>
      <c r="E15" t="s">
        <v>137</v>
      </c>
    </row>
    <row r="16" spans="1:5" x14ac:dyDescent="0.25">
      <c r="A16" t="s">
        <v>165</v>
      </c>
      <c r="B16" t="s">
        <v>166</v>
      </c>
      <c r="C16">
        <v>1</v>
      </c>
      <c r="D16" t="s">
        <v>13</v>
      </c>
      <c r="E16" t="s">
        <v>137</v>
      </c>
    </row>
    <row r="17" spans="1:5" x14ac:dyDescent="0.25">
      <c r="A17" t="s">
        <v>167</v>
      </c>
      <c r="B17" t="s">
        <v>168</v>
      </c>
      <c r="C17">
        <v>1</v>
      </c>
      <c r="D17" t="s">
        <v>13</v>
      </c>
      <c r="E17" t="s">
        <v>137</v>
      </c>
    </row>
    <row r="18" spans="1:5" x14ac:dyDescent="0.25">
      <c r="A18" t="s">
        <v>169</v>
      </c>
      <c r="B18" t="s">
        <v>170</v>
      </c>
      <c r="C18">
        <v>1</v>
      </c>
      <c r="D18" t="s">
        <v>13</v>
      </c>
      <c r="E18" t="s">
        <v>137</v>
      </c>
    </row>
    <row r="19" spans="1:5" x14ac:dyDescent="0.25">
      <c r="A19" t="s">
        <v>171</v>
      </c>
      <c r="B19" t="s">
        <v>172</v>
      </c>
      <c r="C19">
        <v>6</v>
      </c>
      <c r="D19" t="s">
        <v>142</v>
      </c>
      <c r="E19" t="s">
        <v>137</v>
      </c>
    </row>
    <row r="20" spans="1:5" x14ac:dyDescent="0.25">
      <c r="A20" t="s">
        <v>173</v>
      </c>
      <c r="B20" t="s">
        <v>174</v>
      </c>
      <c r="C20">
        <v>1</v>
      </c>
      <c r="D20" t="s">
        <v>13</v>
      </c>
      <c r="E20" t="s">
        <v>137</v>
      </c>
    </row>
    <row r="21" spans="1:5" x14ac:dyDescent="0.25">
      <c r="A21" t="s">
        <v>175</v>
      </c>
      <c r="B21" t="s">
        <v>176</v>
      </c>
      <c r="C21">
        <v>3</v>
      </c>
      <c r="D21" t="s">
        <v>142</v>
      </c>
      <c r="E21" t="s">
        <v>137</v>
      </c>
    </row>
    <row r="22" spans="1:5" x14ac:dyDescent="0.25">
      <c r="A22" t="s">
        <v>177</v>
      </c>
      <c r="B22" t="s">
        <v>178</v>
      </c>
      <c r="C22">
        <v>4</v>
      </c>
      <c r="D22" t="s">
        <v>13</v>
      </c>
      <c r="E22" t="s">
        <v>137</v>
      </c>
    </row>
    <row r="23" spans="1:5" x14ac:dyDescent="0.25">
      <c r="A23" t="s">
        <v>179</v>
      </c>
      <c r="B23" t="s">
        <v>180</v>
      </c>
      <c r="C23">
        <v>2</v>
      </c>
      <c r="D23" t="s">
        <v>13</v>
      </c>
      <c r="E23" t="s">
        <v>137</v>
      </c>
    </row>
    <row r="24" spans="1:5" x14ac:dyDescent="0.25">
      <c r="A24" t="s">
        <v>181</v>
      </c>
      <c r="B24" t="s">
        <v>182</v>
      </c>
      <c r="C24">
        <v>1</v>
      </c>
      <c r="D24" t="s">
        <v>13</v>
      </c>
      <c r="E24" t="s">
        <v>137</v>
      </c>
    </row>
    <row r="25" spans="1:5" x14ac:dyDescent="0.25">
      <c r="A25" t="s">
        <v>183</v>
      </c>
      <c r="B25" t="s">
        <v>184</v>
      </c>
      <c r="C25">
        <v>2</v>
      </c>
      <c r="D25" t="s">
        <v>13</v>
      </c>
      <c r="E25" t="s">
        <v>137</v>
      </c>
    </row>
    <row r="26" spans="1:5" x14ac:dyDescent="0.25">
      <c r="A26" t="s">
        <v>185</v>
      </c>
      <c r="B26" t="s">
        <v>186</v>
      </c>
      <c r="C26">
        <v>30</v>
      </c>
      <c r="D26" t="s">
        <v>13</v>
      </c>
      <c r="E26" t="s">
        <v>137</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pageSetUpPr fitToPage="1"/>
  </sheetPr>
  <dimension ref="A1:I27"/>
  <sheetViews>
    <sheetView topLeftCell="A16" workbookViewId="0">
      <selection activeCell="G24" sqref="G24"/>
    </sheetView>
  </sheetViews>
  <sheetFormatPr defaultRowHeight="15" x14ac:dyDescent="0.25"/>
  <cols>
    <col min="2" max="2" width="25.28515625" customWidth="1"/>
    <col min="3" max="3" width="73.42578125" bestFit="1" customWidth="1"/>
    <col min="4" max="4" width="21.140625" bestFit="1" customWidth="1"/>
    <col min="5" max="5" width="7.28515625" customWidth="1"/>
    <col min="6" max="6" width="13.28515625" bestFit="1" customWidth="1"/>
    <col min="7" max="7" width="18.28515625" bestFit="1" customWidth="1"/>
    <col min="8" max="8" width="19.7109375" bestFit="1" customWidth="1"/>
    <col min="10" max="10" width="13.28515625" bestFit="1" customWidth="1"/>
    <col min="11" max="11" width="18.7109375" customWidth="1"/>
  </cols>
  <sheetData>
    <row r="1" spans="1:9" ht="21" x14ac:dyDescent="0.35">
      <c r="A1" s="94" t="s">
        <v>59</v>
      </c>
      <c r="B1" s="95"/>
      <c r="C1" s="95"/>
      <c r="D1" s="95"/>
      <c r="E1" s="95"/>
      <c r="F1" s="95"/>
      <c r="G1" s="95"/>
      <c r="H1" s="96"/>
    </row>
    <row r="2" spans="1:9" ht="15.75" thickBot="1" x14ac:dyDescent="0.3">
      <c r="A2" s="43"/>
      <c r="B2" s="26"/>
      <c r="C2" s="26"/>
      <c r="D2" s="26"/>
      <c r="E2" s="26"/>
      <c r="F2" s="26"/>
      <c r="G2" s="26"/>
      <c r="H2" s="54"/>
    </row>
    <row r="3" spans="1:9" ht="21.75" thickBot="1" x14ac:dyDescent="0.4">
      <c r="A3" s="43"/>
      <c r="B3" s="50" t="s">
        <v>83</v>
      </c>
      <c r="C3" s="49"/>
      <c r="D3" s="49"/>
      <c r="E3" s="49"/>
      <c r="F3" s="49"/>
      <c r="G3" s="49"/>
      <c r="H3" s="48"/>
    </row>
    <row r="4" spans="1:9" ht="15.75" thickBot="1" x14ac:dyDescent="0.3">
      <c r="A4" s="43"/>
      <c r="B4" s="40" t="s">
        <v>16</v>
      </c>
      <c r="C4" s="41" t="s">
        <v>15</v>
      </c>
      <c r="D4" s="41" t="s">
        <v>97</v>
      </c>
      <c r="E4" s="41" t="s">
        <v>14</v>
      </c>
      <c r="F4" s="41" t="s">
        <v>13</v>
      </c>
      <c r="G4" s="41" t="s">
        <v>12</v>
      </c>
      <c r="H4" s="42" t="s">
        <v>11</v>
      </c>
    </row>
    <row r="5" spans="1:9" x14ac:dyDescent="0.25">
      <c r="A5" s="43"/>
      <c r="B5" s="43" t="s">
        <v>8</v>
      </c>
      <c r="C5" s="26" t="s">
        <v>7</v>
      </c>
      <c r="D5" s="26"/>
      <c r="E5" s="26">
        <v>1</v>
      </c>
      <c r="F5" s="26" t="s">
        <v>1</v>
      </c>
      <c r="G5" s="44">
        <v>56800</v>
      </c>
      <c r="H5" s="45">
        <f>G5*E5</f>
        <v>56800</v>
      </c>
    </row>
    <row r="6" spans="1:9" x14ac:dyDescent="0.25">
      <c r="A6" s="43"/>
      <c r="B6" s="43" t="s">
        <v>4</v>
      </c>
      <c r="C6" s="26" t="s">
        <v>60</v>
      </c>
      <c r="D6" s="26"/>
      <c r="E6" s="26">
        <v>1</v>
      </c>
      <c r="F6" s="26" t="s">
        <v>1</v>
      </c>
      <c r="G6" s="44">
        <v>12400</v>
      </c>
      <c r="H6" s="45">
        <f>G6*E6</f>
        <v>12400</v>
      </c>
    </row>
    <row r="7" spans="1:9" x14ac:dyDescent="0.25">
      <c r="A7" s="43"/>
      <c r="B7" s="43" t="s">
        <v>3</v>
      </c>
      <c r="C7" s="26" t="s">
        <v>2</v>
      </c>
      <c r="D7" s="26"/>
      <c r="E7" s="26">
        <v>1</v>
      </c>
      <c r="F7" s="26" t="s">
        <v>1</v>
      </c>
      <c r="G7" s="44">
        <v>4200</v>
      </c>
      <c r="H7" s="45">
        <f>G7*E7</f>
        <v>4200</v>
      </c>
      <c r="I7" s="11"/>
    </row>
    <row r="8" spans="1:9" x14ac:dyDescent="0.25">
      <c r="A8" s="43"/>
      <c r="B8" s="43" t="s">
        <v>10</v>
      </c>
      <c r="C8" s="26" t="s">
        <v>9</v>
      </c>
      <c r="D8" s="26"/>
      <c r="E8" s="26">
        <v>1</v>
      </c>
      <c r="F8" s="26" t="s">
        <v>1</v>
      </c>
      <c r="G8" s="44">
        <v>7800</v>
      </c>
      <c r="H8" s="45">
        <f>G8*E8</f>
        <v>7800</v>
      </c>
      <c r="I8" s="11"/>
    </row>
    <row r="9" spans="1:9" ht="15.75" thickBot="1" x14ac:dyDescent="0.3">
      <c r="A9" s="43"/>
      <c r="B9" s="43" t="s">
        <v>6</v>
      </c>
      <c r="C9" s="26" t="s">
        <v>5</v>
      </c>
      <c r="D9" s="26"/>
      <c r="E9" s="26">
        <v>1</v>
      </c>
      <c r="F9" s="26" t="s">
        <v>1</v>
      </c>
      <c r="G9" s="44">
        <v>6500</v>
      </c>
      <c r="H9" s="45">
        <f>G9*E9</f>
        <v>6500</v>
      </c>
    </row>
    <row r="10" spans="1:9" ht="23.25" customHeight="1" thickBot="1" x14ac:dyDescent="0.3">
      <c r="A10" s="43"/>
      <c r="B10" s="47" t="s">
        <v>93</v>
      </c>
      <c r="C10" s="49"/>
      <c r="D10" s="49"/>
      <c r="E10" s="49"/>
      <c r="F10" s="49"/>
      <c r="G10" s="53"/>
      <c r="H10" s="51">
        <f>SUBTOTAL(109,Itens_Nacionais[Valor Total])</f>
        <v>87700</v>
      </c>
    </row>
    <row r="11" spans="1:9" x14ac:dyDescent="0.25">
      <c r="A11" s="43"/>
      <c r="B11" s="26"/>
      <c r="C11" s="26"/>
      <c r="D11" s="26"/>
      <c r="E11" s="26"/>
      <c r="F11" s="26"/>
      <c r="G11" s="26"/>
      <c r="H11" s="54"/>
    </row>
    <row r="12" spans="1:9" ht="21" x14ac:dyDescent="0.35">
      <c r="A12" s="43"/>
      <c r="B12" s="10" t="s">
        <v>84</v>
      </c>
      <c r="C12" s="9"/>
      <c r="D12" s="26"/>
      <c r="E12" s="26"/>
      <c r="F12" s="26"/>
      <c r="G12" s="26"/>
      <c r="H12" s="54"/>
    </row>
    <row r="13" spans="1:9" ht="15.75" thickBot="1" x14ac:dyDescent="0.3">
      <c r="A13" s="43"/>
      <c r="B13" s="52" t="s">
        <v>16</v>
      </c>
      <c r="C13" s="52" t="s">
        <v>15</v>
      </c>
      <c r="D13" s="52" t="s">
        <v>14</v>
      </c>
      <c r="E13" s="52" t="s">
        <v>13</v>
      </c>
      <c r="F13" s="52" t="s">
        <v>12</v>
      </c>
      <c r="G13" s="52" t="s">
        <v>49</v>
      </c>
      <c r="H13" s="55" t="s">
        <v>50</v>
      </c>
    </row>
    <row r="14" spans="1:9" x14ac:dyDescent="0.25">
      <c r="A14" s="43"/>
      <c r="B14" s="56" t="s">
        <v>30</v>
      </c>
      <c r="C14" s="56" t="s">
        <v>54</v>
      </c>
      <c r="D14" s="56">
        <v>1</v>
      </c>
      <c r="E14" s="56" t="s">
        <v>1</v>
      </c>
      <c r="F14" s="57">
        <v>8366.26</v>
      </c>
      <c r="G14" s="58">
        <f>Itens_Importados[[#This Row],[Valor UN]]*Itens_Importados[QTD]</f>
        <v>8366.26</v>
      </c>
      <c r="H14" s="59">
        <f>Itens_Importados[[#This Row],[Total U$]]*$G$24</f>
        <v>39656.072400000005</v>
      </c>
    </row>
    <row r="15" spans="1:9" x14ac:dyDescent="0.25">
      <c r="A15" s="43"/>
      <c r="B15" s="56" t="s">
        <v>55</v>
      </c>
      <c r="C15" s="56" t="s">
        <v>56</v>
      </c>
      <c r="D15" s="56">
        <v>1</v>
      </c>
      <c r="E15" s="56" t="s">
        <v>1</v>
      </c>
      <c r="F15" s="57">
        <v>11401.463</v>
      </c>
      <c r="G15" s="58">
        <f>Itens_Importados[[#This Row],[Valor UN]]*Itens_Importados[QTD]</f>
        <v>11401.463</v>
      </c>
      <c r="H15" s="59">
        <f>Itens_Importados[[#This Row],[Total U$]]*$G$24</f>
        <v>54042.93462</v>
      </c>
    </row>
    <row r="16" spans="1:9" x14ac:dyDescent="0.25">
      <c r="A16" s="43"/>
      <c r="B16" s="56" t="s">
        <v>57</v>
      </c>
      <c r="C16" s="56" t="s">
        <v>58</v>
      </c>
      <c r="D16" s="56">
        <v>1</v>
      </c>
      <c r="E16" s="56" t="s">
        <v>1</v>
      </c>
      <c r="F16" s="57">
        <v>6526.52</v>
      </c>
      <c r="G16" s="58">
        <f>Itens_Importados[[#This Row],[Valor UN]]*Itens_Importados[QTD]</f>
        <v>6526.52</v>
      </c>
      <c r="H16" s="59">
        <f>Itens_Importados[[#This Row],[Total U$]]*$G$24</f>
        <v>30935.704800000003</v>
      </c>
    </row>
    <row r="17" spans="1:8" ht="18.75" x14ac:dyDescent="0.3">
      <c r="A17" s="43"/>
      <c r="B17" s="26" t="s">
        <v>92</v>
      </c>
      <c r="C17" s="26"/>
      <c r="D17" s="26"/>
      <c r="E17" s="26"/>
      <c r="F17" s="26"/>
      <c r="G17" s="60">
        <f>SUM(Itens_Importados[Total U$])</f>
        <v>26294.242999999999</v>
      </c>
      <c r="H17" s="61">
        <f>SUM(Itens_Importados[Total R$])</f>
        <v>124634.71182000001</v>
      </c>
    </row>
    <row r="18" spans="1:8" ht="30.75" x14ac:dyDescent="0.3">
      <c r="A18" s="43"/>
      <c r="B18" s="28" t="s">
        <v>89</v>
      </c>
      <c r="C18" s="37">
        <v>1.7</v>
      </c>
      <c r="D18" s="8"/>
      <c r="E18" s="8"/>
      <c r="F18" s="8"/>
      <c r="G18" s="20">
        <f>($C$18-1)*Itens_Importados[[#Totals],[Total U$]]</f>
        <v>18405.970099999999</v>
      </c>
      <c r="H18" s="62">
        <f>($C$18-1)*Itens_Importados[[#Totals],[Total R$]]</f>
        <v>87244.298274000001</v>
      </c>
    </row>
    <row r="19" spans="1:8" ht="30.75" thickBot="1" x14ac:dyDescent="0.3">
      <c r="A19" s="43"/>
      <c r="B19" s="29" t="s">
        <v>91</v>
      </c>
      <c r="C19" s="30"/>
      <c r="D19" s="30"/>
      <c r="E19" s="30"/>
      <c r="F19" s="30"/>
      <c r="G19" s="31">
        <f>Taxa_import_dolar+Itens_Importados[[#Totals],[Total U$]]</f>
        <v>44700.213099999994</v>
      </c>
      <c r="H19" s="63">
        <f>Taxa_de_importação_real+Itens_Importados[[#Totals],[Total R$]]</f>
        <v>211879.01009400003</v>
      </c>
    </row>
    <row r="20" spans="1:8" ht="9" customHeight="1" thickBot="1" x14ac:dyDescent="0.3">
      <c r="A20" s="43"/>
      <c r="B20" s="32"/>
      <c r="C20" s="33"/>
      <c r="D20" s="33"/>
      <c r="E20" s="33"/>
      <c r="F20" s="33"/>
      <c r="G20" s="33"/>
      <c r="H20" s="34"/>
    </row>
    <row r="21" spans="1:8" ht="21.75" thickBot="1" x14ac:dyDescent="0.4">
      <c r="A21" s="43"/>
      <c r="B21" s="26"/>
      <c r="C21" s="23" t="s">
        <v>90</v>
      </c>
      <c r="D21" s="24"/>
      <c r="E21" s="24"/>
      <c r="F21" s="24"/>
      <c r="G21" s="25"/>
      <c r="H21" s="64"/>
    </row>
    <row r="22" spans="1:8" ht="21" x14ac:dyDescent="0.35">
      <c r="A22" s="43"/>
      <c r="B22" s="26"/>
      <c r="C22" s="38" t="s">
        <v>87</v>
      </c>
      <c r="D22" s="35">
        <f>Itens_Nacionais[[#Totals],[Valor Total]]</f>
        <v>87700</v>
      </c>
      <c r="E22" s="26"/>
      <c r="F22" s="26"/>
      <c r="G22" s="27"/>
      <c r="H22" s="65"/>
    </row>
    <row r="23" spans="1:8" ht="21.75" thickBot="1" x14ac:dyDescent="0.4">
      <c r="A23" s="43"/>
      <c r="B23" s="26"/>
      <c r="C23" s="39" t="s">
        <v>88</v>
      </c>
      <c r="D23" s="35">
        <f>Itens_Importados[[#Totals],[Total R$]]</f>
        <v>124634.71182000001</v>
      </c>
      <c r="E23" s="26"/>
      <c r="F23" s="12" t="s">
        <v>53</v>
      </c>
      <c r="G23" s="12" t="s">
        <v>51</v>
      </c>
      <c r="H23" s="66"/>
    </row>
    <row r="24" spans="1:8" ht="21.75" thickBot="1" x14ac:dyDescent="0.4">
      <c r="A24" s="43"/>
      <c r="B24" s="26"/>
      <c r="C24" s="75" t="s">
        <v>94</v>
      </c>
      <c r="D24" s="36">
        <f>Taxa_de_importação_real</f>
        <v>87244.298274000001</v>
      </c>
      <c r="E24" s="26"/>
      <c r="F24" s="22">
        <v>44648</v>
      </c>
      <c r="G24" s="21">
        <v>4.74</v>
      </c>
      <c r="H24" s="67" t="s">
        <v>52</v>
      </c>
    </row>
    <row r="25" spans="1:8" ht="30.75" customHeight="1" thickBot="1" x14ac:dyDescent="0.35">
      <c r="A25" s="46"/>
      <c r="B25" s="24"/>
      <c r="C25" s="68" t="s">
        <v>95</v>
      </c>
      <c r="D25" s="69">
        <f>SUM(Itens_Nacionais[[#Totals],[Valor Total]],Itens_Importados[[#Totals],[Total R$]]*$C$18)</f>
        <v>299579.01009400003</v>
      </c>
      <c r="E25" s="24"/>
      <c r="F25" s="70"/>
      <c r="G25" s="71"/>
      <c r="H25" s="72"/>
    </row>
    <row r="27" spans="1:8" x14ac:dyDescent="0.25">
      <c r="E27" s="11"/>
    </row>
  </sheetData>
  <mergeCells count="1">
    <mergeCell ref="A1:H1"/>
  </mergeCells>
  <printOptions horizontalCentered="1"/>
  <pageMargins left="0.51181102362204722" right="0.51181102362204722" top="0.78740157480314965" bottom="0.78740157480314965" header="0.31496062992125984" footer="0.31496062992125984"/>
  <pageSetup paperSize="9" fitToHeight="0" orientation="landscape"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pageSetUpPr fitToPage="1"/>
  </sheetPr>
  <dimension ref="A1:H18"/>
  <sheetViews>
    <sheetView workbookViewId="0">
      <selection activeCell="C12" sqref="C12"/>
    </sheetView>
  </sheetViews>
  <sheetFormatPr defaultRowHeight="15" x14ac:dyDescent="0.25"/>
  <cols>
    <col min="2" max="2" width="25.28515625" customWidth="1"/>
    <col min="3" max="3" width="73.42578125" bestFit="1" customWidth="1"/>
    <col min="4" max="4" width="21.140625" bestFit="1" customWidth="1"/>
    <col min="5" max="5" width="7.28515625" customWidth="1"/>
    <col min="6" max="6" width="13.28515625" bestFit="1" customWidth="1"/>
    <col min="7" max="7" width="18.28515625" bestFit="1" customWidth="1"/>
    <col min="8" max="8" width="19.7109375" bestFit="1" customWidth="1"/>
    <col min="10" max="10" width="13.28515625" bestFit="1" customWidth="1"/>
    <col min="11" max="11" width="18.7109375" customWidth="1"/>
  </cols>
  <sheetData>
    <row r="1" spans="1:8" ht="21" x14ac:dyDescent="0.35">
      <c r="A1" s="94" t="s">
        <v>59</v>
      </c>
      <c r="B1" s="95"/>
      <c r="C1" s="95"/>
      <c r="D1" s="95"/>
      <c r="E1" s="95"/>
      <c r="F1" s="95"/>
      <c r="G1" s="95"/>
      <c r="H1" s="96"/>
    </row>
    <row r="2" spans="1:8" x14ac:dyDescent="0.25">
      <c r="A2" s="43"/>
      <c r="B2" s="26"/>
      <c r="C2" s="26"/>
      <c r="D2" s="26"/>
      <c r="E2" s="26"/>
      <c r="F2" s="26"/>
      <c r="G2" s="26"/>
      <c r="H2" s="54"/>
    </row>
    <row r="3" spans="1:8" ht="21" x14ac:dyDescent="0.35">
      <c r="A3" s="43"/>
      <c r="B3" s="10" t="s">
        <v>84</v>
      </c>
      <c r="C3" s="9"/>
      <c r="D3" s="26"/>
      <c r="E3" s="26"/>
      <c r="F3" s="26"/>
      <c r="G3" s="26"/>
      <c r="H3" s="54"/>
    </row>
    <row r="4" spans="1:8" ht="15.75" thickBot="1" x14ac:dyDescent="0.3">
      <c r="A4" s="43"/>
      <c r="B4" s="52" t="s">
        <v>16</v>
      </c>
      <c r="C4" s="52" t="s">
        <v>15</v>
      </c>
      <c r="D4" s="52" t="s">
        <v>14</v>
      </c>
      <c r="E4" s="52" t="s">
        <v>13</v>
      </c>
      <c r="F4" s="52" t="s">
        <v>12</v>
      </c>
      <c r="G4" s="52" t="s">
        <v>49</v>
      </c>
      <c r="H4" s="55" t="s">
        <v>50</v>
      </c>
    </row>
    <row r="5" spans="1:8" x14ac:dyDescent="0.25">
      <c r="A5" s="43"/>
      <c r="B5" s="56"/>
      <c r="C5" s="56" t="s">
        <v>104</v>
      </c>
      <c r="D5" s="56">
        <v>1</v>
      </c>
      <c r="E5" s="56" t="s">
        <v>1</v>
      </c>
      <c r="F5" s="57">
        <v>700.94</v>
      </c>
      <c r="G5" s="58">
        <f>Itens_Importados3[[#This Row],[Valor UN]]*Itens_Importados3[QTD]</f>
        <v>700.94</v>
      </c>
      <c r="H5" s="59">
        <f>Itens_Importados3[[#This Row],[Total U$]]*$G$15</f>
        <v>3266.3804000000005</v>
      </c>
    </row>
    <row r="6" spans="1:8" x14ac:dyDescent="0.25">
      <c r="A6" s="43"/>
      <c r="B6" s="56" t="s">
        <v>107</v>
      </c>
      <c r="C6" s="56" t="s">
        <v>105</v>
      </c>
      <c r="D6" s="56">
        <v>8</v>
      </c>
      <c r="E6" s="56" t="s">
        <v>1</v>
      </c>
      <c r="F6" s="57">
        <v>183.66</v>
      </c>
      <c r="G6" s="58">
        <f>Itens_Importados3[[#This Row],[Valor UN]]*Itens_Importados3[QTD]</f>
        <v>1469.28</v>
      </c>
      <c r="H6" s="59">
        <f>Itens_Importados3[[#This Row],[Total U$]]*$G$15</f>
        <v>6846.8447999999999</v>
      </c>
    </row>
    <row r="7" spans="1:8" x14ac:dyDescent="0.25">
      <c r="A7" s="43"/>
      <c r="B7" s="56"/>
      <c r="C7" s="56" t="s">
        <v>106</v>
      </c>
      <c r="D7" s="56">
        <v>8</v>
      </c>
      <c r="E7" s="56" t="s">
        <v>1</v>
      </c>
      <c r="F7" s="57">
        <v>27.33</v>
      </c>
      <c r="G7" s="58">
        <f>Itens_Importados3[[#This Row],[Valor UN]]*Itens_Importados3[QTD]</f>
        <v>218.64</v>
      </c>
      <c r="H7" s="59">
        <f>Itens_Importados3[[#This Row],[Total U$]]*$G$15</f>
        <v>1018.8624</v>
      </c>
    </row>
    <row r="8" spans="1:8" ht="18.75" x14ac:dyDescent="0.3">
      <c r="A8" s="43"/>
      <c r="B8" s="26" t="s">
        <v>92</v>
      </c>
      <c r="C8" s="26"/>
      <c r="D8" s="26"/>
      <c r="E8" s="26"/>
      <c r="F8" s="26"/>
      <c r="G8" s="60">
        <f>SUM(Itens_Importados3[Total U$])</f>
        <v>2388.86</v>
      </c>
      <c r="H8" s="61">
        <f>SUM(Itens_Importados3[Total R$])</f>
        <v>11132.087600000001</v>
      </c>
    </row>
    <row r="9" spans="1:8" ht="30.75" x14ac:dyDescent="0.3">
      <c r="A9" s="43"/>
      <c r="B9" s="28" t="s">
        <v>89</v>
      </c>
      <c r="C9" s="37">
        <v>1.7</v>
      </c>
      <c r="D9" s="8"/>
      <c r="E9" s="8"/>
      <c r="F9" s="8"/>
      <c r="G9" s="20">
        <f>($C$9-1)*Itens_Importados3[[#Totals],[Total U$]]</f>
        <v>1672.202</v>
      </c>
      <c r="H9" s="62">
        <f>($C$9-1)*Itens_Importados3[[#Totals],[Total R$]]</f>
        <v>7792.4613200000003</v>
      </c>
    </row>
    <row r="10" spans="1:8" ht="30.75" thickBot="1" x14ac:dyDescent="0.3">
      <c r="A10" s="43"/>
      <c r="B10" s="29" t="s">
        <v>91</v>
      </c>
      <c r="C10" s="30"/>
      <c r="D10" s="30"/>
      <c r="E10" s="30"/>
      <c r="F10" s="30"/>
      <c r="G10" s="31">
        <f>Taxa_import_dolar+Itens_Importados3[[#Totals],[Total U$]]</f>
        <v>4061.0619999999999</v>
      </c>
      <c r="H10" s="63">
        <f>Taxa_de_importação_real+Itens_Importados3[[#Totals],[Total R$]]</f>
        <v>18924.548920000001</v>
      </c>
    </row>
    <row r="11" spans="1:8" ht="9" customHeight="1" thickBot="1" x14ac:dyDescent="0.3">
      <c r="A11" s="43"/>
      <c r="B11" s="32"/>
      <c r="C11" s="33"/>
      <c r="D11" s="33"/>
      <c r="E11" s="33"/>
      <c r="F11" s="33"/>
      <c r="G11" s="33"/>
      <c r="H11" s="34"/>
    </row>
    <row r="12" spans="1:8" ht="21.75" thickBot="1" x14ac:dyDescent="0.4">
      <c r="A12" s="43"/>
      <c r="B12" s="26"/>
      <c r="C12" s="23" t="s">
        <v>90</v>
      </c>
      <c r="D12" s="24"/>
      <c r="E12" s="24"/>
      <c r="F12" s="24"/>
      <c r="G12" s="25"/>
      <c r="H12" s="64"/>
    </row>
    <row r="13" spans="1:8" ht="21" hidden="1" x14ac:dyDescent="0.35">
      <c r="A13" s="43"/>
      <c r="B13" s="26"/>
      <c r="C13" s="38" t="s">
        <v>87</v>
      </c>
      <c r="D13" s="35" t="e">
        <f>#REF!</f>
        <v>#REF!</v>
      </c>
      <c r="E13" s="26"/>
      <c r="F13" s="26"/>
      <c r="G13" s="27"/>
      <c r="H13" s="65"/>
    </row>
    <row r="14" spans="1:8" ht="21.75" thickBot="1" x14ac:dyDescent="0.4">
      <c r="A14" s="43"/>
      <c r="B14" s="26"/>
      <c r="C14" s="39" t="s">
        <v>88</v>
      </c>
      <c r="D14" s="35">
        <f>Itens_Importados3[[#Totals],[Total R$]]</f>
        <v>11132.087600000001</v>
      </c>
      <c r="E14" s="26"/>
      <c r="F14" s="12" t="s">
        <v>53</v>
      </c>
      <c r="G14" s="12" t="s">
        <v>51</v>
      </c>
      <c r="H14" s="66"/>
    </row>
    <row r="15" spans="1:8" ht="21.75" thickBot="1" x14ac:dyDescent="0.4">
      <c r="A15" s="43"/>
      <c r="B15" s="26"/>
      <c r="C15" s="75" t="s">
        <v>94</v>
      </c>
      <c r="D15" s="36">
        <f>Taxa_de_importação_real</f>
        <v>7792.4613200000003</v>
      </c>
      <c r="E15" s="26"/>
      <c r="F15" s="22">
        <v>44624</v>
      </c>
      <c r="G15" s="21">
        <v>4.66</v>
      </c>
      <c r="H15" s="67" t="s">
        <v>52</v>
      </c>
    </row>
    <row r="16" spans="1:8" ht="30.75" customHeight="1" thickBot="1" x14ac:dyDescent="0.35">
      <c r="A16" s="46"/>
      <c r="B16" s="24"/>
      <c r="C16" s="68" t="s">
        <v>95</v>
      </c>
      <c r="D16" s="69">
        <f>SUM(D14:D15)</f>
        <v>18924.548920000001</v>
      </c>
      <c r="E16" s="24"/>
      <c r="F16" s="70"/>
      <c r="G16" s="71"/>
      <c r="H16" s="72"/>
    </row>
    <row r="18" spans="5:5" x14ac:dyDescent="0.25">
      <c r="E18" s="11"/>
    </row>
  </sheetData>
  <mergeCells count="1">
    <mergeCell ref="A1:H1"/>
  </mergeCells>
  <printOptions horizontalCentered="1"/>
  <pageMargins left="0.51181102362204722" right="0.51181102362204722" top="0.78740157480314965" bottom="0.78740157480314965" header="0.31496062992125984" footer="0.31496062992125984"/>
  <pageSetup paperSize="9" fitToHeight="0" orientation="landscape"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4</vt:i4>
      </vt:variant>
    </vt:vector>
  </HeadingPairs>
  <TitlesOfParts>
    <vt:vector size="8" baseType="lpstr">
      <vt:lpstr>Pedidos de compra</vt:lpstr>
      <vt:lpstr>Solic 21</vt:lpstr>
      <vt:lpstr>Peças National</vt:lpstr>
      <vt:lpstr>Peças Helerman</vt:lpstr>
      <vt:lpstr>'Peças Helerman'!Taxa_de_importação_real</vt:lpstr>
      <vt:lpstr>Taxa_de_importação_real</vt:lpstr>
      <vt:lpstr>'Peças Helerman'!Taxa_import_dolar</vt:lpstr>
      <vt:lpstr>Taxa_import_dolar</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Shimote</dc:creator>
  <cp:lastModifiedBy>TORK-000953</cp:lastModifiedBy>
  <cp:lastPrinted>2022-03-28T17:24:50Z</cp:lastPrinted>
  <dcterms:created xsi:type="dcterms:W3CDTF">2022-03-17T13:00:03Z</dcterms:created>
  <dcterms:modified xsi:type="dcterms:W3CDTF">2022-04-18T19:59:02Z</dcterms:modified>
</cp:coreProperties>
</file>