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docx" ContentType="application/vnd.openxmlformats-officedocument.wordprocessingml.document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1.xml" ContentType="application/vnd.openxmlformats-officedocument.drawing+xml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\\192.168.1.19\Dados\Arquivos\ENGENHARIA\13. Planos de Controle\"/>
    </mc:Choice>
  </mc:AlternateContent>
  <bookViews>
    <workbookView xWindow="0" yWindow="0" windowWidth="20490" windowHeight="7905" tabRatio="852" activeTab="6"/>
  </bookViews>
  <sheets>
    <sheet name="MATERIA PRIMA" sheetId="52431" r:id="rId1"/>
    <sheet name="ESTAMPAR" sheetId="52424" r:id="rId2"/>
    <sheet name="TRAT. TÉRMICO" sheetId="52428" r:id="rId3"/>
    <sheet name="TRAT. SUPERFICIAL" sheetId="52441" r:id="rId4"/>
    <sheet name="INSP. FINAL" sheetId="52477" r:id="rId5"/>
    <sheet name="EMBALAR " sheetId="52430" r:id="rId6"/>
    <sheet name="INSTRUÇÕES" sheetId="52507" r:id="rId7"/>
    <sheet name="ETM" sheetId="52442" state="hidden" r:id="rId8"/>
    <sheet name="PROCESSO" sheetId="52510" state="hidden" r:id="rId9"/>
    <sheet name="DADOS" sheetId="52443" state="hidden" r:id="rId10"/>
    <sheet name="CADASTRO" sheetId="52511" r:id="rId11"/>
    <sheet name="JATEAR" sheetId="52509" state="hidden" r:id="rId12"/>
    <sheet name="MAGNAFLUX" sheetId="52515" state="hidden" r:id="rId13"/>
  </sheets>
  <definedNames>
    <definedName name="_xlnm._FilterDatabase" localSheetId="7" hidden="1">ETM!$D$1:$N$1404</definedName>
    <definedName name="_xlnm.Print_Area" localSheetId="5">'EMBALAR '!$A$1:$Q$51</definedName>
    <definedName name="_xlnm.Print_Area" localSheetId="1">ESTAMPAR!$A$1:$Q$65</definedName>
    <definedName name="_xlnm.Print_Area" localSheetId="4">'INSP. FINAL'!$A$1:$Q$63</definedName>
    <definedName name="_xlnm.Print_Area" localSheetId="6">INSTRUÇÕES!$C$2:$S$35</definedName>
    <definedName name="_xlnm.Print_Area" localSheetId="11">JATEAR!$A$1:$Q$65</definedName>
    <definedName name="_xlnm.Print_Area" localSheetId="12">MAGNAFLUX!$A$1:$Q$65</definedName>
    <definedName name="_xlnm.Print_Area" localSheetId="0">'MATERIA PRIMA'!$A$1:$Q$53</definedName>
    <definedName name="_xlnm.Print_Area" localSheetId="8">PROCESSO!$A$1:$Q$65</definedName>
    <definedName name="_xlnm.Print_Area" localSheetId="3">'TRAT. SUPERFICIAL'!$A$1:$Q$55</definedName>
    <definedName name="_xlnm.Print_Area" localSheetId="2">'TRAT. TÉRMICO'!$A$1:$Q$51</definedName>
    <definedName name="Prelaunch">'MATERIA PRIMA'!$L$3</definedName>
    <definedName name="Production">'MATERIA PRIMA'!$O$3</definedName>
    <definedName name="Prototype">'MATERIA PRIMA'!$I$3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4" i="52441" l="1"/>
  <c r="O3" i="52515"/>
  <c r="L3" i="52515"/>
  <c r="I3" i="52515"/>
  <c r="Q8" i="52515" l="1"/>
  <c r="A8" i="52515"/>
  <c r="Q6" i="52515"/>
  <c r="M6" i="52515"/>
  <c r="C6" i="52515"/>
  <c r="A6" i="52515"/>
  <c r="G4" i="52515"/>
  <c r="D4" i="52515"/>
  <c r="C4" i="52515"/>
  <c r="A4" i="52515"/>
  <c r="Q4" i="52515"/>
  <c r="Q4" i="52431"/>
  <c r="F64" i="52515"/>
  <c r="Q64" i="52515" s="1"/>
  <c r="F62" i="52515"/>
  <c r="M62" i="52515" s="1"/>
  <c r="F60" i="52515"/>
  <c r="Q60" i="52515" s="1"/>
  <c r="F58" i="52515"/>
  <c r="Q58" i="52515" s="1"/>
  <c r="F56" i="52515"/>
  <c r="M56" i="52515" s="1"/>
  <c r="F54" i="52515"/>
  <c r="Q54" i="52515" s="1"/>
  <c r="F52" i="52515"/>
  <c r="Q52" i="52515" s="1"/>
  <c r="O50" i="52515"/>
  <c r="F50" i="52515"/>
  <c r="M50" i="52515" s="1"/>
  <c r="F48" i="52515"/>
  <c r="Q48" i="52515" s="1"/>
  <c r="F46" i="52515"/>
  <c r="Q46" i="52515" s="1"/>
  <c r="F44" i="52515"/>
  <c r="M44" i="52515" s="1"/>
  <c r="F42" i="52515"/>
  <c r="Q42" i="52515" s="1"/>
  <c r="F40" i="52515"/>
  <c r="Q40" i="52515" s="1"/>
  <c r="F38" i="52515"/>
  <c r="M38" i="52515" s="1"/>
  <c r="F36" i="52515"/>
  <c r="Q36" i="52515" s="1"/>
  <c r="F34" i="52515"/>
  <c r="Q34" i="52515" s="1"/>
  <c r="F32" i="52515"/>
  <c r="M32" i="52515" s="1"/>
  <c r="F30" i="52515"/>
  <c r="Q30" i="52515" s="1"/>
  <c r="F28" i="52515"/>
  <c r="Q28" i="52515" s="1"/>
  <c r="F26" i="52515"/>
  <c r="M26" i="52515" s="1"/>
  <c r="F24" i="52515"/>
  <c r="Q24" i="52515" s="1"/>
  <c r="F22" i="52515"/>
  <c r="Q22" i="52515" s="1"/>
  <c r="F20" i="52515"/>
  <c r="M20" i="52515" s="1"/>
  <c r="Q18" i="52515"/>
  <c r="O18" i="52515"/>
  <c r="M18" i="52515" s="1"/>
  <c r="F18" i="52515"/>
  <c r="Q16" i="52515"/>
  <c r="O16" i="52515"/>
  <c r="M16" i="52515" s="1"/>
  <c r="F16" i="52515"/>
  <c r="Q14" i="52515"/>
  <c r="O14" i="52515"/>
  <c r="M14" i="52515" s="1"/>
  <c r="F14" i="52515"/>
  <c r="O26" i="52515" l="1"/>
  <c r="O44" i="52515"/>
  <c r="O62" i="52515"/>
  <c r="O38" i="52515"/>
  <c r="O56" i="52515"/>
  <c r="O20" i="52515"/>
  <c r="O32" i="52515"/>
  <c r="Q20" i="52515"/>
  <c r="M24" i="52515"/>
  <c r="Q26" i="52515"/>
  <c r="M30" i="52515"/>
  <c r="Q32" i="52515"/>
  <c r="M36" i="52515"/>
  <c r="Q38" i="52515"/>
  <c r="M42" i="52515"/>
  <c r="Q44" i="52515"/>
  <c r="M48" i="52515"/>
  <c r="Q50" i="52515"/>
  <c r="M54" i="52515"/>
  <c r="Q56" i="52515"/>
  <c r="M60" i="52515"/>
  <c r="Q62" i="52515"/>
  <c r="O24" i="52515"/>
  <c r="O30" i="52515"/>
  <c r="O36" i="52515"/>
  <c r="O42" i="52515"/>
  <c r="O48" i="52515"/>
  <c r="O54" i="52515"/>
  <c r="O60" i="52515"/>
  <c r="M22" i="52515"/>
  <c r="M28" i="52515"/>
  <c r="M34" i="52515"/>
  <c r="M40" i="52515"/>
  <c r="M46" i="52515"/>
  <c r="M52" i="52515"/>
  <c r="M58" i="52515"/>
  <c r="M64" i="52515"/>
  <c r="O22" i="52515"/>
  <c r="O28" i="52515"/>
  <c r="O34" i="52515"/>
  <c r="O40" i="52515"/>
  <c r="O46" i="52515"/>
  <c r="O52" i="52515"/>
  <c r="O58" i="52515"/>
  <c r="O64" i="52515"/>
  <c r="Q4" i="52509" l="1"/>
  <c r="Q4" i="52510"/>
  <c r="Q4" i="52424"/>
  <c r="Q4" i="52428"/>
  <c r="Q4" i="52441"/>
  <c r="Q4" i="52477"/>
  <c r="Q4" i="52430"/>
  <c r="O64" i="52510"/>
  <c r="O62" i="52510"/>
  <c r="O60" i="52510"/>
  <c r="O58" i="52510"/>
  <c r="O56" i="52510"/>
  <c r="O54" i="52510"/>
  <c r="O52" i="52510"/>
  <c r="O50" i="52510"/>
  <c r="O48" i="52510"/>
  <c r="O46" i="52510"/>
  <c r="O44" i="52510"/>
  <c r="O42" i="52510"/>
  <c r="O40" i="52510"/>
  <c r="O38" i="52510"/>
  <c r="O36" i="52510"/>
  <c r="O34" i="52510"/>
  <c r="O32" i="52510"/>
  <c r="O30" i="52510"/>
  <c r="O28" i="52510"/>
  <c r="O26" i="52510"/>
  <c r="O24" i="52510"/>
  <c r="O22" i="52510"/>
  <c r="O20" i="52510"/>
  <c r="O18" i="52510"/>
  <c r="O16" i="52510"/>
  <c r="O14" i="52510"/>
  <c r="O16" i="52424"/>
  <c r="O18" i="52424"/>
  <c r="O20" i="52424"/>
  <c r="O22" i="52424"/>
  <c r="O24" i="52424"/>
  <c r="O26" i="52424"/>
  <c r="O28" i="52424"/>
  <c r="O30" i="52424"/>
  <c r="O32" i="52424"/>
  <c r="O34" i="52424"/>
  <c r="O36" i="52424"/>
  <c r="O38" i="52424"/>
  <c r="O40" i="52424"/>
  <c r="O42" i="52424"/>
  <c r="O44" i="52424"/>
  <c r="O46" i="52424"/>
  <c r="O48" i="52424"/>
  <c r="O50" i="52424"/>
  <c r="O52" i="52424"/>
  <c r="O54" i="52424"/>
  <c r="O56" i="52424"/>
  <c r="O58" i="52424"/>
  <c r="O60" i="52424"/>
  <c r="O62" i="52424"/>
  <c r="O64" i="52424"/>
  <c r="O14" i="52424"/>
  <c r="K16" i="52441" l="1"/>
  <c r="K30" i="52428"/>
  <c r="K28" i="52428"/>
  <c r="K34" i="52428"/>
  <c r="K32" i="52428"/>
  <c r="K26" i="52428"/>
  <c r="K24" i="52428"/>
  <c r="K22" i="52428"/>
  <c r="F64" i="52510" l="1"/>
  <c r="F62" i="52510"/>
  <c r="F60" i="52510"/>
  <c r="F58" i="52510"/>
  <c r="F56" i="52510"/>
  <c r="F54" i="52510"/>
  <c r="F52" i="52510"/>
  <c r="F50" i="52510"/>
  <c r="F48" i="52510"/>
  <c r="F46" i="52510"/>
  <c r="F44" i="52510"/>
  <c r="F42" i="52510"/>
  <c r="F40" i="52510"/>
  <c r="F38" i="52510"/>
  <c r="F36" i="52510"/>
  <c r="F34" i="52510"/>
  <c r="F32" i="52510"/>
  <c r="F30" i="52510"/>
  <c r="F28" i="52510"/>
  <c r="F26" i="52510"/>
  <c r="F24" i="52510"/>
  <c r="F22" i="52510"/>
  <c r="F20" i="52510"/>
  <c r="F18" i="52510"/>
  <c r="F16" i="52510"/>
  <c r="F14" i="52510"/>
  <c r="Q8" i="52510"/>
  <c r="A8" i="52510"/>
  <c r="Q6" i="52510"/>
  <c r="M6" i="52510"/>
  <c r="C6" i="52510"/>
  <c r="A6" i="52510"/>
  <c r="G4" i="52510"/>
  <c r="D4" i="52510"/>
  <c r="C4" i="52510"/>
  <c r="A4" i="52510"/>
  <c r="O3" i="52510"/>
  <c r="L3" i="52510"/>
  <c r="I3" i="52510"/>
  <c r="Q42" i="52510" l="1"/>
  <c r="M42" i="52510"/>
  <c r="Q32" i="52510"/>
  <c r="M32" i="52510"/>
  <c r="Q56" i="52510"/>
  <c r="M56" i="52510"/>
  <c r="Q22" i="52510"/>
  <c r="M22" i="52510"/>
  <c r="Q34" i="52510"/>
  <c r="M34" i="52510"/>
  <c r="Q46" i="52510"/>
  <c r="M46" i="52510"/>
  <c r="Q58" i="52510"/>
  <c r="M58" i="52510"/>
  <c r="Q24" i="52510"/>
  <c r="M24" i="52510"/>
  <c r="Q36" i="52510"/>
  <c r="M36" i="52510"/>
  <c r="Q48" i="52510"/>
  <c r="M48" i="52510"/>
  <c r="Q60" i="52510"/>
  <c r="M60" i="52510"/>
  <c r="M18" i="52510"/>
  <c r="Q54" i="52510"/>
  <c r="M54" i="52510"/>
  <c r="Q44" i="52510"/>
  <c r="M44" i="52510"/>
  <c r="M14" i="52510"/>
  <c r="Q26" i="52510"/>
  <c r="M26" i="52510"/>
  <c r="Q38" i="52510"/>
  <c r="M38" i="52510"/>
  <c r="Q50" i="52510"/>
  <c r="M50" i="52510"/>
  <c r="Q62" i="52510"/>
  <c r="M62" i="52510"/>
  <c r="Q30" i="52510"/>
  <c r="M30" i="52510"/>
  <c r="Q20" i="52510"/>
  <c r="M20" i="52510"/>
  <c r="M16" i="52510"/>
  <c r="Q28" i="52510"/>
  <c r="M28" i="52510"/>
  <c r="Q40" i="52510"/>
  <c r="M40" i="52510"/>
  <c r="Q52" i="52510"/>
  <c r="M52" i="52510"/>
  <c r="Q64" i="52510"/>
  <c r="M64" i="52510"/>
  <c r="Q18" i="52510"/>
  <c r="Q16" i="52510"/>
  <c r="Q14" i="52510"/>
  <c r="N14" i="52477"/>
  <c r="N16" i="52477"/>
  <c r="N18" i="52477"/>
  <c r="N20" i="52477"/>
  <c r="N22" i="52477"/>
  <c r="N24" i="52477"/>
  <c r="N26" i="52477"/>
  <c r="N28" i="52477"/>
  <c r="N30" i="52477"/>
  <c r="N32" i="52477"/>
  <c r="N34" i="52477"/>
  <c r="N36" i="52477"/>
  <c r="N38" i="52477"/>
  <c r="N40" i="52477"/>
  <c r="N42" i="52477"/>
  <c r="N44" i="52477"/>
  <c r="N46" i="52477"/>
  <c r="N48" i="52477"/>
  <c r="N50" i="52477"/>
  <c r="N52" i="52477"/>
  <c r="N54" i="52477"/>
  <c r="N56" i="52477"/>
  <c r="N58" i="52477"/>
  <c r="N60" i="52477"/>
  <c r="N62" i="52477"/>
  <c r="F56" i="52477"/>
  <c r="Q56" i="52477" s="1"/>
  <c r="F54" i="52477"/>
  <c r="Q54" i="52477" s="1"/>
  <c r="F52" i="52477"/>
  <c r="Q52" i="52477" s="1"/>
  <c r="M52" i="52477" l="1"/>
  <c r="M54" i="52477"/>
  <c r="M56" i="52477"/>
  <c r="O52" i="52477"/>
  <c r="O54" i="52477"/>
  <c r="O56" i="52477"/>
  <c r="F58" i="52477" l="1"/>
  <c r="F60" i="52477"/>
  <c r="F62" i="52477"/>
  <c r="Q8" i="52428" l="1"/>
  <c r="O58" i="52477" l="1"/>
  <c r="O60" i="52477"/>
  <c r="O62" i="52477"/>
  <c r="M58" i="52477"/>
  <c r="M60" i="52477"/>
  <c r="M62" i="52477"/>
  <c r="Q16" i="52509" l="1"/>
  <c r="O16" i="52509"/>
  <c r="M16" i="52509" s="1"/>
  <c r="F16" i="52509"/>
  <c r="Q14" i="52509"/>
  <c r="O14" i="52509"/>
  <c r="M14" i="52509" s="1"/>
  <c r="F14" i="52509"/>
  <c r="F64" i="52509"/>
  <c r="Q64" i="52509" s="1"/>
  <c r="F62" i="52509"/>
  <c r="Q62" i="52509" s="1"/>
  <c r="F60" i="52509"/>
  <c r="Q60" i="52509" s="1"/>
  <c r="F58" i="52509"/>
  <c r="Q58" i="52509" s="1"/>
  <c r="F56" i="52509"/>
  <c r="Q56" i="52509" s="1"/>
  <c r="F54" i="52509"/>
  <c r="Q54" i="52509" s="1"/>
  <c r="F52" i="52509"/>
  <c r="Q52" i="52509" s="1"/>
  <c r="F50" i="52509"/>
  <c r="Q50" i="52509" s="1"/>
  <c r="F48" i="52509"/>
  <c r="Q48" i="52509" s="1"/>
  <c r="F46" i="52509"/>
  <c r="Q46" i="52509" s="1"/>
  <c r="F44" i="52509"/>
  <c r="Q44" i="52509" s="1"/>
  <c r="F42" i="52509"/>
  <c r="Q42" i="52509" s="1"/>
  <c r="F40" i="52509"/>
  <c r="Q40" i="52509" s="1"/>
  <c r="F38" i="52509"/>
  <c r="Q38" i="52509" s="1"/>
  <c r="F36" i="52509"/>
  <c r="Q36" i="52509" s="1"/>
  <c r="F34" i="52509"/>
  <c r="Q34" i="52509" s="1"/>
  <c r="F32" i="52509"/>
  <c r="Q32" i="52509" s="1"/>
  <c r="F30" i="52509"/>
  <c r="Q30" i="52509" s="1"/>
  <c r="F28" i="52509"/>
  <c r="Q28" i="52509" s="1"/>
  <c r="F26" i="52509"/>
  <c r="Q26" i="52509" s="1"/>
  <c r="F24" i="52509"/>
  <c r="Q24" i="52509" s="1"/>
  <c r="F22" i="52509"/>
  <c r="Q22" i="52509" s="1"/>
  <c r="F20" i="52509"/>
  <c r="Q20" i="52509" s="1"/>
  <c r="F18" i="52509"/>
  <c r="Q18" i="52509" s="1"/>
  <c r="Q8" i="52509"/>
  <c r="A8" i="52509"/>
  <c r="Q6" i="52509"/>
  <c r="M6" i="52509"/>
  <c r="C6" i="52509"/>
  <c r="A6" i="52509"/>
  <c r="G4" i="52509"/>
  <c r="D4" i="52509"/>
  <c r="C4" i="52509"/>
  <c r="A4" i="52509"/>
  <c r="O3" i="52509"/>
  <c r="L3" i="52509"/>
  <c r="I3" i="52509"/>
  <c r="M18" i="52509" l="1"/>
  <c r="M20" i="52509"/>
  <c r="M22" i="52509"/>
  <c r="M24" i="52509"/>
  <c r="M26" i="52509"/>
  <c r="M28" i="52509"/>
  <c r="M30" i="52509"/>
  <c r="M32" i="52509"/>
  <c r="M34" i="52509"/>
  <c r="M36" i="52509"/>
  <c r="M38" i="52509"/>
  <c r="M40" i="52509"/>
  <c r="M42" i="52509"/>
  <c r="M44" i="52509"/>
  <c r="M46" i="52509"/>
  <c r="M48" i="52509"/>
  <c r="M50" i="52509"/>
  <c r="M52" i="52509"/>
  <c r="M54" i="52509"/>
  <c r="M56" i="52509"/>
  <c r="M58" i="52509"/>
  <c r="M60" i="52509"/>
  <c r="M62" i="52509"/>
  <c r="M64" i="52509"/>
  <c r="O18" i="52509"/>
  <c r="O20" i="52509"/>
  <c r="O22" i="52509"/>
  <c r="O24" i="52509"/>
  <c r="O26" i="52509"/>
  <c r="O28" i="52509"/>
  <c r="O30" i="52509"/>
  <c r="O32" i="52509"/>
  <c r="O34" i="52509"/>
  <c r="O36" i="52509"/>
  <c r="O38" i="52509"/>
  <c r="O40" i="52509"/>
  <c r="O42" i="52509"/>
  <c r="O44" i="52509"/>
  <c r="O46" i="52509"/>
  <c r="O48" i="52509"/>
  <c r="O50" i="52509"/>
  <c r="O52" i="52509"/>
  <c r="O54" i="52509"/>
  <c r="O56" i="52509"/>
  <c r="O58" i="52509"/>
  <c r="O60" i="52509"/>
  <c r="O62" i="52509"/>
  <c r="O64" i="52509"/>
  <c r="A4" i="52477"/>
  <c r="A4" i="52441"/>
  <c r="K22" i="52441" l="1"/>
  <c r="K20" i="52441" l="1"/>
  <c r="Q58" i="52477"/>
  <c r="Q60" i="52477"/>
  <c r="Q62" i="52477"/>
  <c r="F14" i="52477"/>
  <c r="F14" i="52424"/>
  <c r="M14" i="52424" s="1"/>
  <c r="F16" i="52424"/>
  <c r="F18" i="52424"/>
  <c r="F20" i="52424"/>
  <c r="F22" i="52424"/>
  <c r="F24" i="52424"/>
  <c r="F26" i="52424"/>
  <c r="F28" i="52424"/>
  <c r="F30" i="52424"/>
  <c r="F32" i="52424"/>
  <c r="F34" i="52424"/>
  <c r="F36" i="52424"/>
  <c r="F38" i="52424"/>
  <c r="F40" i="52424"/>
  <c r="F42" i="52424"/>
  <c r="F44" i="52424"/>
  <c r="F46" i="52424"/>
  <c r="F48" i="52424"/>
  <c r="F50" i="52424"/>
  <c r="F52" i="52424"/>
  <c r="F54" i="52424"/>
  <c r="F56" i="52424"/>
  <c r="F58" i="52424"/>
  <c r="F60" i="52424"/>
  <c r="F62" i="52424"/>
  <c r="F64" i="52424"/>
  <c r="F14" i="52431"/>
  <c r="N14" i="52431" s="1"/>
  <c r="F16" i="52431"/>
  <c r="F18" i="52431"/>
  <c r="F20" i="52431"/>
  <c r="Q20" i="52431" s="1"/>
  <c r="F22" i="52431"/>
  <c r="Q22" i="52431" s="1"/>
  <c r="F24" i="52431"/>
  <c r="Q24" i="52431" s="1"/>
  <c r="F26" i="52431"/>
  <c r="F28" i="52431"/>
  <c r="Q28" i="52431" s="1"/>
  <c r="F30" i="52431"/>
  <c r="Q30" i="52431" s="1"/>
  <c r="F32" i="52431"/>
  <c r="Q32" i="52431" s="1"/>
  <c r="F34" i="52431"/>
  <c r="Q34" i="52431" s="1"/>
  <c r="F36" i="52431"/>
  <c r="Q36" i="52431" s="1"/>
  <c r="F38" i="52431"/>
  <c r="Q38" i="52431" s="1"/>
  <c r="F40" i="52431"/>
  <c r="F42" i="52431"/>
  <c r="Q42" i="52431" s="1"/>
  <c r="F44" i="52431"/>
  <c r="Q44" i="52431" s="1"/>
  <c r="F46" i="52431"/>
  <c r="Q46" i="52431" s="1"/>
  <c r="F48" i="52431"/>
  <c r="Q48" i="52431" s="1"/>
  <c r="F50" i="52431"/>
  <c r="Q50" i="52431" s="1"/>
  <c r="F52" i="52431"/>
  <c r="Q52" i="52431" s="1"/>
  <c r="Q16" i="52431"/>
  <c r="Q18" i="52431"/>
  <c r="Q26" i="52431"/>
  <c r="Q40" i="52431"/>
  <c r="Q22" i="52424" l="1"/>
  <c r="M22" i="52424"/>
  <c r="M58" i="52424"/>
  <c r="M50" i="52424"/>
  <c r="M42" i="52424"/>
  <c r="M34" i="52424"/>
  <c r="Q26" i="52424"/>
  <c r="M26" i="52424"/>
  <c r="Q18" i="52424"/>
  <c r="M18" i="52424"/>
  <c r="Q64" i="52424"/>
  <c r="M64" i="52424"/>
  <c r="Q56" i="52424"/>
  <c r="M56" i="52424"/>
  <c r="Q48" i="52424"/>
  <c r="M48" i="52424"/>
  <c r="Q40" i="52424"/>
  <c r="M40" i="52424"/>
  <c r="Q32" i="52424"/>
  <c r="M32" i="52424"/>
  <c r="Q24" i="52424"/>
  <c r="M24" i="52424"/>
  <c r="Q16" i="52424"/>
  <c r="M16" i="52424"/>
  <c r="Q62" i="52424"/>
  <c r="M62" i="52424"/>
  <c r="Q54" i="52424"/>
  <c r="M54" i="52424"/>
  <c r="Q46" i="52424"/>
  <c r="M46" i="52424"/>
  <c r="Q38" i="52424"/>
  <c r="M38" i="52424"/>
  <c r="Q30" i="52424"/>
  <c r="M30" i="52424"/>
  <c r="M60" i="52424"/>
  <c r="M52" i="52424"/>
  <c r="M44" i="52424"/>
  <c r="M36" i="52424"/>
  <c r="M28" i="52424"/>
  <c r="M20" i="52424"/>
  <c r="O14" i="52477"/>
  <c r="M14" i="52477" s="1"/>
  <c r="Q14" i="52477"/>
  <c r="Q60" i="52424"/>
  <c r="Q44" i="52424"/>
  <c r="Q58" i="52424"/>
  <c r="Q42" i="52424"/>
  <c r="Q52" i="52424"/>
  <c r="Q20" i="52424"/>
  <c r="Q50" i="52424"/>
  <c r="Q36" i="52424"/>
  <c r="Q34" i="52424"/>
  <c r="Q28" i="52424"/>
  <c r="Q14" i="52424"/>
  <c r="Q14" i="52431"/>
  <c r="K16" i="52428" l="1"/>
  <c r="K14" i="52428"/>
  <c r="G14" i="52428" l="1"/>
  <c r="L22" i="52441" l="1"/>
  <c r="K18" i="52441" l="1"/>
  <c r="L24" i="52441"/>
  <c r="L26" i="52441"/>
  <c r="L28" i="52441"/>
  <c r="L30" i="52441"/>
  <c r="L32" i="52441"/>
  <c r="L34" i="52441"/>
  <c r="L36" i="52441"/>
  <c r="L38" i="52441"/>
  <c r="L40" i="52441"/>
  <c r="L42" i="52441"/>
  <c r="L44" i="52441"/>
  <c r="L46" i="52441"/>
  <c r="L48" i="52441"/>
  <c r="L50" i="52441"/>
  <c r="L52" i="52441"/>
  <c r="L54" i="52441"/>
  <c r="L16" i="52441"/>
  <c r="L18" i="52441"/>
  <c r="L20" i="52441"/>
  <c r="L14" i="52441"/>
  <c r="M14" i="52441"/>
  <c r="M16" i="52441"/>
  <c r="K14" i="52441"/>
  <c r="K18" i="52428"/>
  <c r="G18" i="52428"/>
  <c r="G34" i="52428"/>
  <c r="G32" i="52428"/>
  <c r="G30" i="52428"/>
  <c r="G28" i="52428"/>
  <c r="G26" i="52428"/>
  <c r="G24" i="52428"/>
  <c r="G22" i="52428"/>
  <c r="G20" i="52428"/>
  <c r="G16" i="52428"/>
  <c r="Q16" i="52428" s="1"/>
  <c r="G54" i="52441"/>
  <c r="O54" i="52441" s="1"/>
  <c r="G52" i="52441"/>
  <c r="O52" i="52441" s="1"/>
  <c r="G50" i="52441"/>
  <c r="O50" i="52441" s="1"/>
  <c r="G48" i="52441"/>
  <c r="O48" i="52441" s="1"/>
  <c r="G46" i="52441"/>
  <c r="O46" i="52441" s="1"/>
  <c r="G44" i="52441"/>
  <c r="O44" i="52441" s="1"/>
  <c r="G42" i="52441"/>
  <c r="O42" i="52441" s="1"/>
  <c r="G40" i="52441"/>
  <c r="O40" i="52441" s="1"/>
  <c r="G38" i="52441"/>
  <c r="O38" i="52441" s="1"/>
  <c r="G36" i="52441"/>
  <c r="O36" i="52441" s="1"/>
  <c r="G34" i="52441"/>
  <c r="O34" i="52441" s="1"/>
  <c r="G32" i="52441"/>
  <c r="O32" i="52441" s="1"/>
  <c r="G30" i="52441"/>
  <c r="O30" i="52441" s="1"/>
  <c r="G28" i="52441"/>
  <c r="O28" i="52441" s="1"/>
  <c r="G26" i="52441"/>
  <c r="O26" i="52441" s="1"/>
  <c r="G24" i="52441"/>
  <c r="G22" i="52441"/>
  <c r="M22" i="52441" s="1"/>
  <c r="G20" i="52441"/>
  <c r="G18" i="52441"/>
  <c r="O18" i="52441" s="1"/>
  <c r="G16" i="52441"/>
  <c r="B34" i="52441"/>
  <c r="K20" i="52428"/>
  <c r="M18" i="52428"/>
  <c r="L18" i="52428"/>
  <c r="L28" i="52428"/>
  <c r="L26" i="52428"/>
  <c r="L24" i="52428"/>
  <c r="L22" i="52428"/>
  <c r="L20" i="52428"/>
  <c r="L16" i="52428"/>
  <c r="M28" i="52428"/>
  <c r="M26" i="52428"/>
  <c r="M24" i="52428"/>
  <c r="M22" i="52428"/>
  <c r="M20" i="52428"/>
  <c r="M16" i="52428"/>
  <c r="L14" i="52428"/>
  <c r="M14" i="52428"/>
  <c r="O24" i="52441" l="1"/>
  <c r="M24" i="52441"/>
  <c r="N24" i="52441"/>
  <c r="O22" i="52441"/>
  <c r="N22" i="52441"/>
  <c r="N16" i="52441"/>
  <c r="O16" i="52441"/>
  <c r="N20" i="52441"/>
  <c r="O20" i="52441"/>
  <c r="N18" i="52441"/>
  <c r="M18" i="52441"/>
  <c r="M20" i="52441"/>
  <c r="L34" i="52428"/>
  <c r="M34" i="52428"/>
  <c r="F16" i="52428"/>
  <c r="N16" i="52428"/>
  <c r="O16" i="52428"/>
  <c r="P16" i="52428"/>
  <c r="L30" i="52428" l="1"/>
  <c r="M30" i="52428"/>
  <c r="L32" i="52428"/>
  <c r="M32" i="52428"/>
  <c r="N18" i="52428"/>
  <c r="N20" i="52428"/>
  <c r="N28" i="52428" l="1"/>
  <c r="N26" i="52428"/>
  <c r="Q34" i="52428" l="1"/>
  <c r="N34" i="52428"/>
  <c r="N30" i="52428"/>
  <c r="N32" i="52428"/>
  <c r="F34" i="52428"/>
  <c r="O34" i="52428"/>
  <c r="P34" i="52428"/>
  <c r="N24" i="52428"/>
  <c r="N22" i="52428"/>
  <c r="K18" i="52431" l="1"/>
  <c r="K22" i="52431"/>
  <c r="I3" i="52424" l="1"/>
  <c r="O3" i="52430" l="1"/>
  <c r="L3" i="52430"/>
  <c r="I3" i="52430"/>
  <c r="O3" i="52477"/>
  <c r="L3" i="52477"/>
  <c r="I3" i="52477"/>
  <c r="O3" i="52441"/>
  <c r="L3" i="52441"/>
  <c r="I3" i="52441"/>
  <c r="O3" i="52428"/>
  <c r="L3" i="52428"/>
  <c r="I3" i="52428"/>
  <c r="O3" i="52424" l="1"/>
  <c r="L3" i="52424"/>
  <c r="Q6" i="52428"/>
  <c r="Q8" i="52441"/>
  <c r="Q6" i="52441"/>
  <c r="F50" i="52477"/>
  <c r="F48" i="52477"/>
  <c r="F46" i="52477"/>
  <c r="F44" i="52477"/>
  <c r="F42" i="52477"/>
  <c r="F40" i="52477"/>
  <c r="F38" i="52477"/>
  <c r="F36" i="52477"/>
  <c r="F34" i="52477"/>
  <c r="F32" i="52477"/>
  <c r="F30" i="52477"/>
  <c r="F28" i="52477"/>
  <c r="F26" i="52477"/>
  <c r="F24" i="52477"/>
  <c r="F22" i="52477"/>
  <c r="F20" i="52477"/>
  <c r="F18" i="52477"/>
  <c r="F16" i="52477"/>
  <c r="A8" i="52477"/>
  <c r="M6" i="52477"/>
  <c r="C6" i="52477"/>
  <c r="A6" i="52477"/>
  <c r="G4" i="52477"/>
  <c r="D4" i="52477"/>
  <c r="C4" i="52477"/>
  <c r="O30" i="52477" l="1"/>
  <c r="M30" i="52477"/>
  <c r="Q30" i="52477"/>
  <c r="O46" i="52477"/>
  <c r="M46" i="52477"/>
  <c r="Q46" i="52477"/>
  <c r="O24" i="52477"/>
  <c r="M24" i="52477"/>
  <c r="Q24" i="52477"/>
  <c r="O40" i="52477"/>
  <c r="M40" i="52477"/>
  <c r="Q40" i="52477"/>
  <c r="O48" i="52477"/>
  <c r="M48" i="52477"/>
  <c r="Q48" i="52477"/>
  <c r="O18" i="52477"/>
  <c r="M18" i="52477" s="1"/>
  <c r="Q18" i="52477"/>
  <c r="M26" i="52477"/>
  <c r="O26" i="52477"/>
  <c r="Q26" i="52477"/>
  <c r="M34" i="52477"/>
  <c r="O34" i="52477"/>
  <c r="Q34" i="52477"/>
  <c r="M42" i="52477"/>
  <c r="O42" i="52477"/>
  <c r="Q42" i="52477"/>
  <c r="M50" i="52477"/>
  <c r="O50" i="52477"/>
  <c r="Q50" i="52477"/>
  <c r="O22" i="52477"/>
  <c r="M22" i="52477"/>
  <c r="Q22" i="52477"/>
  <c r="O38" i="52477"/>
  <c r="M38" i="52477"/>
  <c r="Q38" i="52477"/>
  <c r="O16" i="52477"/>
  <c r="M16" i="52477"/>
  <c r="Q16" i="52477"/>
  <c r="O32" i="52477"/>
  <c r="M32" i="52477"/>
  <c r="Q32" i="52477"/>
  <c r="O20" i="52477"/>
  <c r="M20" i="52477"/>
  <c r="Q20" i="52477"/>
  <c r="O28" i="52477"/>
  <c r="M28" i="52477"/>
  <c r="Q28" i="52477"/>
  <c r="O36" i="52477"/>
  <c r="M36" i="52477"/>
  <c r="Q36" i="52477"/>
  <c r="O44" i="52477"/>
  <c r="M44" i="52477"/>
  <c r="Q44" i="52477"/>
  <c r="N16" i="52431"/>
  <c r="N18" i="52431"/>
  <c r="N20" i="52431"/>
  <c r="N22" i="52431"/>
  <c r="N24" i="52431"/>
  <c r="N26" i="52431"/>
  <c r="N28" i="52431"/>
  <c r="N30" i="52431"/>
  <c r="N32" i="52431"/>
  <c r="N34" i="52431"/>
  <c r="N36" i="52431"/>
  <c r="N38" i="52431"/>
  <c r="N40" i="52431"/>
  <c r="N42" i="52431"/>
  <c r="N44" i="52431"/>
  <c r="N46" i="52431"/>
  <c r="N48" i="52431"/>
  <c r="N50" i="52431"/>
  <c r="N52" i="52431"/>
  <c r="P20" i="52428" l="1"/>
  <c r="P22" i="52428"/>
  <c r="P24" i="52428"/>
  <c r="P26" i="52428"/>
  <c r="P28" i="52428"/>
  <c r="P30" i="52428"/>
  <c r="P32" i="52428"/>
  <c r="P14" i="52428"/>
  <c r="Q20" i="52428"/>
  <c r="Q22" i="52428"/>
  <c r="Q24" i="52428"/>
  <c r="Q26" i="52428"/>
  <c r="Q28" i="52428"/>
  <c r="Q30" i="52428"/>
  <c r="Q32" i="52428"/>
  <c r="O20" i="52428"/>
  <c r="O22" i="52428"/>
  <c r="O24" i="52428"/>
  <c r="O26" i="52428"/>
  <c r="O28" i="52428"/>
  <c r="O30" i="52428"/>
  <c r="O32" i="52428"/>
  <c r="Q14" i="52428"/>
  <c r="O14" i="52428"/>
  <c r="N14" i="52428"/>
  <c r="G14" i="52441" l="1"/>
  <c r="N14" i="52441" l="1"/>
  <c r="O14" i="52441"/>
  <c r="P18" i="52428"/>
  <c r="Q18" i="52428"/>
  <c r="O18" i="52428"/>
  <c r="M26" i="52441" l="1"/>
  <c r="M28" i="52441"/>
  <c r="M30" i="52441"/>
  <c r="M32" i="52441"/>
  <c r="M34" i="52441"/>
  <c r="M36" i="52441"/>
  <c r="M38" i="52441"/>
  <c r="M40" i="52441"/>
  <c r="M42" i="52441"/>
  <c r="M44" i="52441"/>
  <c r="M46" i="52441"/>
  <c r="M48" i="52441"/>
  <c r="M50" i="52441"/>
  <c r="M52" i="52441"/>
  <c r="M54" i="52441"/>
  <c r="F14" i="52428" l="1"/>
  <c r="F20" i="52428"/>
  <c r="F22" i="52428"/>
  <c r="F24" i="52428"/>
  <c r="F26" i="52428"/>
  <c r="F28" i="52428"/>
  <c r="F30" i="52428"/>
  <c r="F32" i="52428"/>
  <c r="F50" i="52430" l="1"/>
  <c r="F48" i="52430"/>
  <c r="F46" i="52430"/>
  <c r="F44" i="52430"/>
  <c r="F42" i="52430"/>
  <c r="F40" i="52430"/>
  <c r="F38" i="52430"/>
  <c r="F36" i="52430"/>
  <c r="F34" i="52430"/>
  <c r="F32" i="52430"/>
  <c r="F30" i="52430"/>
  <c r="F26" i="52430"/>
  <c r="F24" i="52430"/>
  <c r="F22" i="52430"/>
  <c r="F20" i="52430"/>
  <c r="F18" i="52430"/>
  <c r="F16" i="52430"/>
  <c r="F14" i="52430"/>
  <c r="F54" i="52441"/>
  <c r="Q54" i="52441" s="1"/>
  <c r="F52" i="52441"/>
  <c r="Q52" i="52441" s="1"/>
  <c r="F50" i="52441"/>
  <c r="Q50" i="52441" s="1"/>
  <c r="F48" i="52441"/>
  <c r="Q48" i="52441" s="1"/>
  <c r="F46" i="52441"/>
  <c r="Q46" i="52441" s="1"/>
  <c r="F44" i="52441"/>
  <c r="Q44" i="52441" s="1"/>
  <c r="F42" i="52441"/>
  <c r="Q42" i="52441" s="1"/>
  <c r="F40" i="52441"/>
  <c r="Q40" i="52441" s="1"/>
  <c r="F38" i="52441"/>
  <c r="Q38" i="52441" s="1"/>
  <c r="F36" i="52441"/>
  <c r="Q36" i="52441" s="1"/>
  <c r="F34" i="52441"/>
  <c r="Q34" i="52441" s="1"/>
  <c r="F32" i="52441"/>
  <c r="Q32" i="52441" s="1"/>
  <c r="F30" i="52441"/>
  <c r="Q30" i="52441" s="1"/>
  <c r="F28" i="52441"/>
  <c r="Q28" i="52441" s="1"/>
  <c r="F26" i="52441"/>
  <c r="Q26" i="52441" s="1"/>
  <c r="F24" i="52441"/>
  <c r="Q24" i="52441" s="1"/>
  <c r="F22" i="52441"/>
  <c r="Q22" i="52441" s="1"/>
  <c r="F20" i="52441"/>
  <c r="Q20" i="52441" s="1"/>
  <c r="F18" i="52441"/>
  <c r="Q18" i="52441" s="1"/>
  <c r="F16" i="52441"/>
  <c r="Q16" i="52441" s="1"/>
  <c r="F14" i="52441"/>
  <c r="Q14" i="52441" s="1"/>
  <c r="F18" i="52428" l="1"/>
  <c r="K36" i="52431"/>
  <c r="A4" i="52424"/>
  <c r="K28" i="52431"/>
  <c r="K32" i="52431"/>
  <c r="A4" i="52428"/>
  <c r="K24" i="52431"/>
  <c r="K26" i="52431"/>
  <c r="K30" i="52431"/>
  <c r="A4" i="52430"/>
  <c r="K34" i="52431"/>
  <c r="C4" i="52441"/>
  <c r="C4" i="52424"/>
  <c r="C4" i="52428"/>
  <c r="C4" i="52430"/>
  <c r="D4" i="52430"/>
  <c r="D4" i="52424"/>
  <c r="D4" i="52428"/>
  <c r="D4" i="52441"/>
  <c r="G4" i="52428"/>
  <c r="G4" i="52430"/>
  <c r="G4" i="52424"/>
  <c r="G4" i="52441"/>
  <c r="A6" i="52424"/>
  <c r="A6" i="52428"/>
  <c r="A6" i="52430"/>
  <c r="A6" i="52441"/>
  <c r="C6" i="52430"/>
  <c r="C6" i="52424"/>
  <c r="C6" i="52428"/>
  <c r="C6" i="52441"/>
  <c r="M6" i="52430"/>
  <c r="M6" i="52441"/>
  <c r="M6" i="52424"/>
  <c r="M6" i="52428"/>
  <c r="Q6" i="52430"/>
  <c r="Q6" i="52424"/>
  <c r="Q8" i="52424"/>
  <c r="Q8" i="52430"/>
  <c r="A8" i="52430" l="1"/>
  <c r="A8" i="52424"/>
  <c r="A8" i="52428"/>
  <c r="A8" i="52441"/>
</calcChain>
</file>

<file path=xl/comments1.xml><?xml version="1.0" encoding="utf-8"?>
<comments xmlns="http://schemas.openxmlformats.org/spreadsheetml/2006/main">
  <authors>
    <author>User</author>
  </authors>
  <commentList>
    <comment ref="E5" authorId="0" shapeId="0">
      <text>
        <r>
          <rPr>
            <b/>
            <sz val="9"/>
            <color indexed="81"/>
            <rFont val="Segoe UI"/>
            <family val="2"/>
          </rPr>
          <t>Digite o nome do processo que deseja cadastrar</t>
        </r>
      </text>
    </comment>
    <comment ref="E6" authorId="0" shapeId="0">
      <text>
        <r>
          <rPr>
            <sz val="9"/>
            <color indexed="81"/>
            <rFont val="Segoe UI"/>
            <family val="2"/>
          </rPr>
          <t>R.I.P. (Relatório de Inspeção de Produção)
R.I.R. (Relatório de Inspeção de Recebimento)
R.I.F. (Relatório de Inspeção Final)
R.I. (Relatório de Inpeção)
R.I.T.T. (Relatório de Inpeção de Tratamento térmico)</t>
        </r>
      </text>
    </comment>
  </commentList>
</comments>
</file>

<file path=xl/sharedStrings.xml><?xml version="1.0" encoding="utf-8"?>
<sst xmlns="http://schemas.openxmlformats.org/spreadsheetml/2006/main" count="11677" uniqueCount="892">
  <si>
    <t>PLANO DE CONTROLE DO PROCESSO</t>
  </si>
  <si>
    <t>Nome do Cliente:</t>
  </si>
  <si>
    <t>N° da Peça:</t>
  </si>
  <si>
    <t>Nome da Peça:</t>
  </si>
  <si>
    <t>Página</t>
  </si>
  <si>
    <t>Nome do Fornecedor:</t>
  </si>
  <si>
    <t>Metaltork Ind. e Comércio Ltda.</t>
  </si>
  <si>
    <t>Data (Rev)</t>
  </si>
  <si>
    <t>Data Inicial</t>
  </si>
  <si>
    <t>Aprovação do Cliente (Se requerido)</t>
  </si>
  <si>
    <t>Engenharia</t>
  </si>
  <si>
    <t>Data</t>
  </si>
  <si>
    <t>Qualidade</t>
  </si>
  <si>
    <t>Plano de Reação</t>
  </si>
  <si>
    <t>Método de Controle</t>
  </si>
  <si>
    <t>Nome do Proc. ou Descrição da Operação</t>
  </si>
  <si>
    <t>Máquina para Produção</t>
  </si>
  <si>
    <t>Nº</t>
  </si>
  <si>
    <t>Produto</t>
  </si>
  <si>
    <t>Processo</t>
  </si>
  <si>
    <t>Características</t>
  </si>
  <si>
    <t>N° Plano Controle</t>
  </si>
  <si>
    <t>Produção</t>
  </si>
  <si>
    <t>Métodos</t>
  </si>
  <si>
    <t>Tam. Amostra</t>
  </si>
  <si>
    <t>Tol./Espec. Prod./Proc.</t>
  </si>
  <si>
    <t>Outras Aprovações (Se requerido)</t>
  </si>
  <si>
    <t>Freq. Amostra</t>
  </si>
  <si>
    <t>Equipe Principal:</t>
  </si>
  <si>
    <t>N° Peça (Fornecedor)</t>
  </si>
  <si>
    <t>Técn. Avaliação/Medição</t>
  </si>
  <si>
    <t>Nº Peça/Processo</t>
  </si>
  <si>
    <t>Caracteristicas Especiais</t>
  </si>
  <si>
    <t>Rev. Data Desenho</t>
  </si>
  <si>
    <t>Cód. Forn.</t>
  </si>
  <si>
    <t>LOTE</t>
  </si>
  <si>
    <t>EMBALAR</t>
  </si>
  <si>
    <t>QUANTIDADE</t>
  </si>
  <si>
    <t>BALANÇA CONTADORA</t>
  </si>
  <si>
    <t>MICR 0,001</t>
  </si>
  <si>
    <t>CONF SISTEMA</t>
  </si>
  <si>
    <t>FORM 097</t>
  </si>
  <si>
    <t>I.T 9.4.9</t>
  </si>
  <si>
    <t>C</t>
  </si>
  <si>
    <t>FORNO DE TEMPERA E REVENIMENTO</t>
  </si>
  <si>
    <t>DUREZA SUPERFICIAL</t>
  </si>
  <si>
    <t>CARBONETAÇÃO</t>
  </si>
  <si>
    <t>DESCARBONETAÇÃO</t>
  </si>
  <si>
    <t>DURÔMETRO</t>
  </si>
  <si>
    <t xml:space="preserve"> 2. O ensaio de tração não se aplica para:</t>
  </si>
  <si>
    <t xml:space="preserve">2.2  Para parafusos com altura roscada menor que ( 2,5 ) duas vezes e meio diâmetro externo da rosca             </t>
  </si>
  <si>
    <t xml:space="preserve">2.3   Parafusos com resistência superior á 55 toneladas ( capaciadade de máquina de tração )                          </t>
  </si>
  <si>
    <t>E</t>
  </si>
  <si>
    <t>Caracteristicas especiais</t>
  </si>
  <si>
    <t>CRITICA</t>
  </si>
  <si>
    <t>D</t>
  </si>
  <si>
    <t>SEGURANÇA</t>
  </si>
  <si>
    <t>FUNCIONAL</t>
  </si>
  <si>
    <t>PESO</t>
  </si>
  <si>
    <t>IDENTIFICAÇÃO</t>
  </si>
  <si>
    <t>TIPO EMBALAGEM</t>
  </si>
  <si>
    <t xml:space="preserve">CONF SISTEMA </t>
  </si>
  <si>
    <t>CONFORME OP / VISUAL</t>
  </si>
  <si>
    <t>Observações</t>
  </si>
  <si>
    <t xml:space="preserve"> 1.  Para liberação de laboratório usar em paralelo à este plano de controle o desenho de frabricação do item e  a  ordem de produção onde constam a posição da ETM 004             </t>
  </si>
  <si>
    <t>1.1 Para pinos esféricos se faz necessário inspeção 100%, magna test e magna flux, salvo quando não especificado pelo cliente.</t>
  </si>
  <si>
    <t>CARCTERÍSTICAS ESPECIAIS</t>
  </si>
  <si>
    <t xml:space="preserve"> 3. Amostragem e Liberação:</t>
  </si>
  <si>
    <t>3.1  Cada caçamba do mesmo item deverá ser tratado como sub-lote identificado pelo pessoal do tratamento térmico na sequência  de saída do revenimento e realizar amostragem, testes e registros independentes para liberação final.</t>
  </si>
  <si>
    <r>
      <t>DF</t>
    </r>
    <r>
      <rPr>
        <b/>
        <sz val="12"/>
        <rFont val="Arial"/>
        <family val="2"/>
      </rPr>
      <t xml:space="preserve"> = desenho de fabricação</t>
    </r>
  </si>
  <si>
    <r>
      <t xml:space="preserve"> IT </t>
    </r>
    <r>
      <rPr>
        <b/>
        <sz val="12"/>
        <rFont val="Arial"/>
        <family val="2"/>
      </rPr>
      <t xml:space="preserve">= Intrução de Trabalho   </t>
    </r>
  </si>
  <si>
    <r>
      <t>ETM</t>
    </r>
    <r>
      <rPr>
        <b/>
        <sz val="12"/>
        <rFont val="Arial"/>
        <family val="2"/>
      </rPr>
      <t xml:space="preserve"> = Especificação tècnica Metaltork</t>
    </r>
  </si>
  <si>
    <r>
      <t>C</t>
    </r>
    <r>
      <rPr>
        <b/>
        <sz val="10"/>
        <rFont val="Arial"/>
        <family val="2"/>
      </rPr>
      <t xml:space="preserve">-Crítica    </t>
    </r>
    <r>
      <rPr>
        <b/>
        <sz val="10"/>
        <color indexed="10"/>
        <rFont val="Arial"/>
        <family val="2"/>
      </rPr>
      <t>D</t>
    </r>
    <r>
      <rPr>
        <b/>
        <sz val="10"/>
        <rFont val="Arial"/>
        <family val="2"/>
      </rPr>
      <t xml:space="preserve">-Segurança    </t>
    </r>
    <r>
      <rPr>
        <b/>
        <sz val="10"/>
        <color indexed="10"/>
        <rFont val="Arial"/>
        <family val="2"/>
      </rPr>
      <t xml:space="preserve"> E</t>
    </r>
    <r>
      <rPr>
        <b/>
        <sz val="10"/>
        <rFont val="Arial"/>
        <family val="2"/>
      </rPr>
      <t>-Funcional</t>
    </r>
  </si>
  <si>
    <r>
      <t>OP</t>
    </r>
    <r>
      <rPr>
        <b/>
        <sz val="12"/>
        <rFont val="Arial"/>
        <family val="2"/>
      </rPr>
      <t xml:space="preserve"> = Ordem de Produção</t>
    </r>
  </si>
  <si>
    <t xml:space="preserve">2.4 Dureza superficial aplica - se para parafusos ou prisioneiro onde exista área disponível p/ medição e quando solicitado na ETM004. </t>
  </si>
  <si>
    <t>3.2 Para monitoramento de processo a cada 4 horas é embutido um corpo de prova.</t>
  </si>
  <si>
    <t>2.1  Parafusos e peças especiais de geometria complexas, onde nos esforços de tração possam ocorrer cisalhamento da cabeça</t>
  </si>
  <si>
    <t>CONF. OP / DF</t>
  </si>
  <si>
    <t>CONF.  NF / CERT. QUAL. FORNECEDOR - PROC 7.4.3</t>
  </si>
  <si>
    <t>BITOLA / Ø MATERIAL</t>
  </si>
  <si>
    <t xml:space="preserve">DUREZA </t>
  </si>
  <si>
    <t xml:space="preserve">RESIST. A TRAÇÃO </t>
  </si>
  <si>
    <t>CONF. CERT. QUAL. FORNECEDOR</t>
  </si>
  <si>
    <t xml:space="preserve">TEMPERABILIDADE </t>
  </si>
  <si>
    <t xml:space="preserve">TRATAMENTO  TERMICO / GRAU DE ESFEROIDIZAÇÃO </t>
  </si>
  <si>
    <t xml:space="preserve">COMPOSIÇÃO QUÍMICA </t>
  </si>
  <si>
    <t xml:space="preserve">MICRO ESTRUTURA </t>
  </si>
  <si>
    <t xml:space="preserve">TAMANHO DE GRÃO </t>
  </si>
  <si>
    <t xml:space="preserve">CARBONETAÇÃO </t>
  </si>
  <si>
    <t xml:space="preserve">DESCARBONETAÇÃO </t>
  </si>
  <si>
    <t xml:space="preserve">DESCONTINUIDADE SUPERFICIAL </t>
  </si>
  <si>
    <t>R.I.R.</t>
  </si>
  <si>
    <t>ESPECIFICAÇÃO</t>
  </si>
  <si>
    <t>DESC. ESPECIFICAÇÃO</t>
  </si>
  <si>
    <t>VALOR ESPERADO</t>
  </si>
  <si>
    <t>INT. MINIMO</t>
  </si>
  <si>
    <t>INT. MAXIMO</t>
  </si>
  <si>
    <t>TÉCNICA DE AVALIAÇÃO</t>
  </si>
  <si>
    <t>TAMANHO DA AMOSTRA</t>
  </si>
  <si>
    <t>FREQUÊNCIA DE AMOSTRAGEM</t>
  </si>
  <si>
    <t>UN</t>
  </si>
  <si>
    <t>METODO</t>
  </si>
  <si>
    <t>CARACTERÍSTICA ESPECIAL</t>
  </si>
  <si>
    <t>ETM 002 POS.002</t>
  </si>
  <si>
    <t>TRATAMENTO SUPERFICIAL</t>
  </si>
  <si>
    <t>DESENGRAXADO E OLEADO</t>
  </si>
  <si>
    <t>CONF. CERT. FORNECEDOR</t>
  </si>
  <si>
    <t>N/A</t>
  </si>
  <si>
    <t>R.I.R</t>
  </si>
  <si>
    <t>ASPECTO VISUAL</t>
  </si>
  <si>
    <t>ISENTO DE FALHAS, MANCHAS E OXIDAÇÕES</t>
  </si>
  <si>
    <t>VISUAL</t>
  </si>
  <si>
    <t>ETM 002 POS.005</t>
  </si>
  <si>
    <t>JATEADO E OLEADO</t>
  </si>
  <si>
    <t>ETM 002 POS.006</t>
  </si>
  <si>
    <t>ENEGRECIDO E OLEADO COM ÓLEO PROTETIVO NORMAL.</t>
  </si>
  <si>
    <t>ETM 002 POS.022</t>
  </si>
  <si>
    <t>FOSFATIZADO E OLEADO</t>
  </si>
  <si>
    <t>ESPESSURA DA CAMADA</t>
  </si>
  <si>
    <t>3</t>
  </si>
  <si>
    <t>7</t>
  </si>
  <si>
    <t>MEDIDOR DE CAMADA</t>
  </si>
  <si>
    <t>SALT SPRAY</t>
  </si>
  <si>
    <t>24H CORROSÃO VERMELHA</t>
  </si>
  <si>
    <t>MÁQUINA DE SALT SPRAY</t>
  </si>
  <si>
    <t>ETM 002 POS.027</t>
  </si>
  <si>
    <t>72H CORROSÃO VERMELHA</t>
  </si>
  <si>
    <t>ETM 002 POS.054</t>
  </si>
  <si>
    <t>FERRO/ZINCO/FERRO + GLEITMO</t>
  </si>
  <si>
    <t>8</t>
  </si>
  <si>
    <t>12</t>
  </si>
  <si>
    <t>ENSAIO DE DTT</t>
  </si>
  <si>
    <t>0,10</t>
  </si>
  <si>
    <t>0,16</t>
  </si>
  <si>
    <t>MÁQUINA DE DTT</t>
  </si>
  <si>
    <t>µges</t>
  </si>
  <si>
    <t>3 SEMANAS CORROSÃO BRANCA 4 SEMANAS CORROSÃO VERMELHA</t>
  </si>
  <si>
    <t>ETM 002 POS.116</t>
  </si>
  <si>
    <t>FOSFATO DE MANGANÊS E OLEADO</t>
  </si>
  <si>
    <t>10</t>
  </si>
  <si>
    <t>ETM 002 POS.121</t>
  </si>
  <si>
    <t>ZINCADO TRIVALENTE AMARELO</t>
  </si>
  <si>
    <t>5</t>
  </si>
  <si>
    <t>ETM 002 POS.130</t>
  </si>
  <si>
    <t>ZINCADO BICROMATIZADO AMARELO</t>
  </si>
  <si>
    <t>6</t>
  </si>
  <si>
    <t>72H CORROSÃO BRANCA (5% DA ÁREA) 96H CORROSÃO VERMELHA</t>
  </si>
  <si>
    <t>ETM 002 POS.137</t>
  </si>
  <si>
    <t>72H CORROSÃO BRANCA 144H CORROSÃO VERMELHA</t>
  </si>
  <si>
    <t>ETM 002 POS.139</t>
  </si>
  <si>
    <t>0,12</t>
  </si>
  <si>
    <t>0,30</t>
  </si>
  <si>
    <t>96H CORROSÃO BRANCA 168H CORROSÃO VERMELHA</t>
  </si>
  <si>
    <t>ETM 002 POS.140</t>
  </si>
  <si>
    <t>GEOMET PRATA 321 + ML</t>
  </si>
  <si>
    <t>ETM 002 POS.145</t>
  </si>
  <si>
    <t>GEOMET PRATA 321-5</t>
  </si>
  <si>
    <t>300H CORROSÃO VERMELHA</t>
  </si>
  <si>
    <t>ETM 002 POS.154</t>
  </si>
  <si>
    <t>FOSFATO DE ZINCO “QUASE” AMORFO E OLEADO</t>
  </si>
  <si>
    <t>2</t>
  </si>
  <si>
    <t>4</t>
  </si>
  <si>
    <t>0,08</t>
  </si>
  <si>
    <t>0,14</t>
  </si>
  <si>
    <t>ETM 002 POS.155</t>
  </si>
  <si>
    <t>ZINCADO BICROMATIZADO AMARELO TYPE II</t>
  </si>
  <si>
    <t>96H CORROSÃO BRANCA</t>
  </si>
  <si>
    <t>ETM 002 POS.162</t>
  </si>
  <si>
    <t>GEOMET PRATA 321 + PLUS L GRAU A</t>
  </si>
  <si>
    <t>600H CORROSÃO VERMELHA</t>
  </si>
  <si>
    <t>ETM 002 POS.163</t>
  </si>
  <si>
    <t>GEOMET PRATA 321 (2 CAMADAS) + PLUS (INCOLOR
*)</t>
  </si>
  <si>
    <t>720H CORROSÃO VERMELHA</t>
  </si>
  <si>
    <t>ETM 002 POS.165</t>
  </si>
  <si>
    <t>GEOMET PRATA 500</t>
  </si>
  <si>
    <t>0,13</t>
  </si>
  <si>
    <t>0,15</t>
  </si>
  <si>
    <t>800H CORROSÃO VERMELHA</t>
  </si>
  <si>
    <t>ETM 002 POS.166</t>
  </si>
  <si>
    <t>GEOMET PRETO</t>
  </si>
  <si>
    <t>240H CORROSÃO BRANCA 480H CORROSÃO VERMELHA</t>
  </si>
  <si>
    <t>ETM 002 POS.171</t>
  </si>
  <si>
    <t>GEOMET PRATA 321-5+PLUS L</t>
  </si>
  <si>
    <t>500H CORROSÃO VERMELHA</t>
  </si>
  <si>
    <t>ETM 002 POS.172</t>
  </si>
  <si>
    <t>0,18</t>
  </si>
  <si>
    <t>ETM 002 POS.173</t>
  </si>
  <si>
    <t>0,09</t>
  </si>
  <si>
    <t>72H CORROSÃO BRANCA 2 CICLOS KESTERNICH NA ESPIGA E NA ROSCA 3 CICLOS KESTERNICH NA CABEÇA CORROSÃO VERMELHA</t>
  </si>
  <si>
    <t>ETM 002 POS.178</t>
  </si>
  <si>
    <t>ETM 002 POS.181</t>
  </si>
  <si>
    <t>GEOMET PRATA 321 (2 CAMADAS) + PLUS L (INCOLOR)</t>
  </si>
  <si>
    <t>ETM 002 POS.184</t>
  </si>
  <si>
    <t>GEOMET PRATA 500 PL</t>
  </si>
  <si>
    <t>ETM 002 POS.189</t>
  </si>
  <si>
    <t>1</t>
  </si>
  <si>
    <t>ETM 002 POS.191</t>
  </si>
  <si>
    <t>6H E 1 CICLO KESTERNICH CORROSÃO VERMELHA</t>
  </si>
  <si>
    <t>ETM 002 POS.193</t>
  </si>
  <si>
    <t>GEOMET PRATA 321 GRAU A + PLUS VL</t>
  </si>
  <si>
    <t>ETM 002 POS.194</t>
  </si>
  <si>
    <t>GEOMET PRATA 321 GRAU A + PLUS</t>
  </si>
  <si>
    <t>ETM 002 POS.020</t>
  </si>
  <si>
    <t>ETM 002 POS.203</t>
  </si>
  <si>
    <t>48H CORROSÃO VERMELHA</t>
  </si>
  <si>
    <t>ETM 002 POS.204</t>
  </si>
  <si>
    <t>FERRO/ZINCO/FERRO MAIS GLEITMO</t>
  </si>
  <si>
    <t>200H CORROSÃO BRANCA 266H CORROSÃO VERMELHA</t>
  </si>
  <si>
    <t>ETM 002 POS.206</t>
  </si>
  <si>
    <t>ETM 002 POS.208</t>
  </si>
  <si>
    <t>JATEADO A SECO E NÃO OLEADO</t>
  </si>
  <si>
    <t>ETM 002 POS.021</t>
  </si>
  <si>
    <t>6H CORROSÃO VERMELHA</t>
  </si>
  <si>
    <t>ETM 002 POS.217</t>
  </si>
  <si>
    <t>ETM 002 POS.219</t>
  </si>
  <si>
    <t>JATEADO E OLEADO C/ ÓLEO (MAGNÉTICO/PROTETIVO)</t>
  </si>
  <si>
    <t>ETM 002 POS.221</t>
  </si>
  <si>
    <t>FOSFATO DE ZINCO + ÓLEO SECATIVO DFW1</t>
  </si>
  <si>
    <t>ETM 002 POS.222</t>
  </si>
  <si>
    <t>ENEGRECIDO E OLEADO</t>
  </si>
  <si>
    <t>ETM 002 POS.023</t>
  </si>
  <si>
    <t>ETM 002 POS.230</t>
  </si>
  <si>
    <t>GEOMET PRATA 321 + DACROLUB 10 (VERDE)</t>
  </si>
  <si>
    <t>ETM 002 POS.232</t>
  </si>
  <si>
    <t>GEOMET PRATA 321 GRAU A</t>
  </si>
  <si>
    <t>0,24</t>
  </si>
  <si>
    <t>ETM 002 POS.236</t>
  </si>
  <si>
    <t>ZINCADO TRIVALENTE AZUL</t>
  </si>
  <si>
    <t>13</t>
  </si>
  <si>
    <t>18</t>
  </si>
  <si>
    <t>240H CORROSÃO VERMELHA</t>
  </si>
  <si>
    <t>ETM 002 POS.237</t>
  </si>
  <si>
    <t>OLEADO, COM ÓLEO PROTETIVO</t>
  </si>
  <si>
    <t>ETM 002 POS.024</t>
  </si>
  <si>
    <t>72 HORAS</t>
  </si>
  <si>
    <t>ETM 002 POS.243</t>
  </si>
  <si>
    <t>GEOMET PRATA 500 GRAU B</t>
  </si>
  <si>
    <t>0,19</t>
  </si>
  <si>
    <t>1000H CORROSÃO VERMELHA</t>
  </si>
  <si>
    <t>ETM 002 POS.251</t>
  </si>
  <si>
    <t>GEOMET PRATA 321 + PLUS VL</t>
  </si>
  <si>
    <t>ETM 002 POS.257</t>
  </si>
  <si>
    <t>GEOMET PRATA 321 (NÃO APLICAR PLUS VL)</t>
  </si>
  <si>
    <t>ESPESSURA DA CAMADA NA ROSCA</t>
  </si>
  <si>
    <t>240H CORROSÃO BRANCA</t>
  </si>
  <si>
    <t>ETM 002 POS.261</t>
  </si>
  <si>
    <t>GEOMET PRATA 321</t>
  </si>
  <si>
    <t>ETM 002 POS.267</t>
  </si>
  <si>
    <t>ZINCADO TRIVALENTE INCOLOR + SEALREVEST 40%</t>
  </si>
  <si>
    <t>48 HORAS</t>
  </si>
  <si>
    <t>ETM 002 POS.269</t>
  </si>
  <si>
    <t>ETM 002 POS.271</t>
  </si>
  <si>
    <t>ZINCADO TRIVALENTE TRANSPARENTE</t>
  </si>
  <si>
    <t>96H CORROSÃO BRANCA 3 CICLOS KESTERNICH CORROSÃO VERMELHA</t>
  </si>
  <si>
    <t>ETM 002 POS.279</t>
  </si>
  <si>
    <t>ZINCO NÍQUEL TRIVALENTE PRETO</t>
  </si>
  <si>
    <t>360H CORROSÃO VERMELHA</t>
  </si>
  <si>
    <t>ETM 002 POS.028</t>
  </si>
  <si>
    <t>100H CORROSÃO VERMELHA</t>
  </si>
  <si>
    <t>ETM 002 POS.280</t>
  </si>
  <si>
    <t>ETM 002 POS.281</t>
  </si>
  <si>
    <t>OLEADO COM ÓLEO PROTETIVO E SECATIVO DFW1</t>
  </si>
  <si>
    <t>ETM 002 POS.283</t>
  </si>
  <si>
    <t>GEOMET PRATA 321 + PLUS</t>
  </si>
  <si>
    <t>15</t>
  </si>
  <si>
    <t>20</t>
  </si>
  <si>
    <t>0,21</t>
  </si>
  <si>
    <t>1920H CORROSÃO VERMELHA</t>
  </si>
  <si>
    <t>ETM 002 POS.284</t>
  </si>
  <si>
    <t>ETM 002 POS.287</t>
  </si>
  <si>
    <t>FOSFATO DE ZINCO “QUASE” AMORFO + OLEO DFW1</t>
  </si>
  <si>
    <t>36H CORROSÃO VERMELHA</t>
  </si>
  <si>
    <t>ETM 002 POS.029</t>
  </si>
  <si>
    <t>6H 1 CICLO KESTERNICH CORROSÃO VERMELHA</t>
  </si>
  <si>
    <t>ETM 002 POS.294</t>
  </si>
  <si>
    <t>FOSFATO DE ZINCO “QUASE” AMORFO + OLEO PRO46/393</t>
  </si>
  <si>
    <t>ETM 002 POS.030</t>
  </si>
  <si>
    <t>ZINCADO BRANCO</t>
  </si>
  <si>
    <t>ETM 002 POS.303</t>
  </si>
  <si>
    <t>GEOMET PRATA 321 + PLUS VLh OFL-T647</t>
  </si>
  <si>
    <t>720H DIN 9227 480H ACONDICIONADO TERMICAMENTE CORROSÃO VERMELHA</t>
  </si>
  <si>
    <t>ETM 002 POS.304</t>
  </si>
  <si>
    <t>DELTATONE 9000 OU MAGNIFLAKE D90</t>
  </si>
  <si>
    <t>480H CORROSÃO VERMELHA</t>
  </si>
  <si>
    <t>ETM 002 POS.305</t>
  </si>
  <si>
    <t>ZINCO NIQUEL INCOLOR TRIVALENTE PRATEADO + PASSIVADO + SELADO + LUBRIFICANTE</t>
  </si>
  <si>
    <t>144H (BANHO ROTATIVO) 240H (BANHO PARADO) CORROSÃO BRANCA 720H (ADMISSÍVEL 480H CORPO E ROSCA) CORROSÃO VERMELHA</t>
  </si>
  <si>
    <t>ETM 002 POS.306</t>
  </si>
  <si>
    <t>DELTAPROTEKT KL 100 + DELTA SEAL GZ PRETO</t>
  </si>
  <si>
    <t>16</t>
  </si>
  <si>
    <t>ETM 002 POS.307</t>
  </si>
  <si>
    <t>ZINCO NIQUEL PRETO TRIVALENTE PRATEADO + PASSIVADO + SELADO + LUBRIFICANTE</t>
  </si>
  <si>
    <t>144H (BANHO ROTATIVO) CORROSÃO BRANCA 720H (ADMISSÍVEL 480H CORPO E ROSCA) CORROSÃO VERMELHA</t>
  </si>
  <si>
    <t>ETM 002 POS.315</t>
  </si>
  <si>
    <t>72H CORROSÃO BRANCA 110H CORROSÃO VERMELHA</t>
  </si>
  <si>
    <t>ETM 002 POS.322</t>
  </si>
  <si>
    <t>FOSFATO DE ZINCO SEM ÓLEO</t>
  </si>
  <si>
    <t>ETM 002 POS.323</t>
  </si>
  <si>
    <t>GEOMET 500 + PLUS ML</t>
  </si>
  <si>
    <t>ETM 002 POS.326</t>
  </si>
  <si>
    <t>GEOMET PRATA 321 + PLUS VLH INCOLOR</t>
  </si>
  <si>
    <t>ETM 002 POS.327</t>
  </si>
  <si>
    <t>ZINCADO BICROMATIZADO AMARELO + ÓLEO FININGARD 105</t>
  </si>
  <si>
    <t>ETM 002 POS.341</t>
  </si>
  <si>
    <t>96H CORROSÃO VERMELHA 240H CORROSÃO BRANCA</t>
  </si>
  <si>
    <t>ETM 002 POS.040</t>
  </si>
  <si>
    <t>ETM 002 POS.041</t>
  </si>
  <si>
    <t>72H CORROSÃO BRANCA 2 CICLOS KESTERNICH NA ESPIGA E NA ROSCA 3 CICLOS KESTERNICH NA CABEÇA</t>
  </si>
  <si>
    <t>ETM 002 POS.042</t>
  </si>
  <si>
    <t>48H CORROSÃO BRANCA 96H CORROSÃO VERMELHA</t>
  </si>
  <si>
    <t>ETM 002 POS.044</t>
  </si>
  <si>
    <t>ZINCADO BICROMATIZADO AMARELO E OLEADO PROTETIVO</t>
  </si>
  <si>
    <t>72H CORROSÃO BRANCA 2 CICLOS KESTERNICH NA ESPIGA E NA ROSCA E 3 CICLOS KESTERNICH NA CABEÇA CORROSÃO VERMELHA</t>
  </si>
  <si>
    <t>ETM 002 POS.055</t>
  </si>
  <si>
    <t>ETM 002 POS.062</t>
  </si>
  <si>
    <t>DACROMET PRATA 320 + PLUS AZUL</t>
  </si>
  <si>
    <t>ETM 002 POS.082</t>
  </si>
  <si>
    <t>DACROMET PRATA 320 SEM PLUS, GRAU A (2 CAMADAS)</t>
  </si>
  <si>
    <t>250H CORROSÃO BRANCA 500H CORROSÃO VERMELHA</t>
  </si>
  <si>
    <t>ETM 002 POS.087</t>
  </si>
  <si>
    <t>DACROMET PRATA 500 LC GRAU A</t>
  </si>
  <si>
    <t>ETM 002 POS.093</t>
  </si>
  <si>
    <t>DUREZA DO NÚCLEO</t>
  </si>
  <si>
    <t>0</t>
  </si>
  <si>
    <t>HRC</t>
  </si>
  <si>
    <t>R.I.T.T</t>
  </si>
  <si>
    <t>RESISTÊNCIA A TRAÇÃO</t>
  </si>
  <si>
    <t>540</t>
  </si>
  <si>
    <t>700</t>
  </si>
  <si>
    <t>MÁQUINA DE TRAÇÃO</t>
  </si>
  <si>
    <t>MPa</t>
  </si>
  <si>
    <t>MICROESTRUTURA</t>
  </si>
  <si>
    <t>FERRITA E PERLITA</t>
  </si>
  <si>
    <t>MICROSCÓPIO METALOGRÁFICO</t>
  </si>
  <si>
    <t>DESCARBONETAÇÃO TOTAL</t>
  </si>
  <si>
    <t>ISENTO</t>
  </si>
  <si>
    <t>MM</t>
  </si>
  <si>
    <t>DESCARBONETAÇÃO PARCIAL</t>
  </si>
  <si>
    <t>DOBRAS, TRINCAS E DEFEITOS SUPERFICIAIS</t>
  </si>
  <si>
    <t>ETM 063 / ETM 067</t>
  </si>
  <si>
    <t>ETM 004 POS.100 &lt;= M20</t>
  </si>
  <si>
    <t>37</t>
  </si>
  <si>
    <t>42</t>
  </si>
  <si>
    <t>1170</t>
  </si>
  <si>
    <t>1320</t>
  </si>
  <si>
    <t>MARTENSITA REVENIDA</t>
  </si>
  <si>
    <t>0,20</t>
  </si>
  <si>
    <t>LIMITE DE ESCOAMENTO</t>
  </si>
  <si>
    <t>1100</t>
  </si>
  <si>
    <t>VARIAÇÃO DE DUREZA (MAGNATEST)</t>
  </si>
  <si>
    <t>37 - 42</t>
  </si>
  <si>
    <t>MAGNATEST</t>
  </si>
  <si>
    <t>TAB. DE AMOSTRAGEM CONF. I.T.10.1.6</t>
  </si>
  <si>
    <t>PRESENÇA DE TRINCAS</t>
  </si>
  <si>
    <t>ISENTO DE TRINCAS</t>
  </si>
  <si>
    <t>MAGNAFLUX</t>
  </si>
  <si>
    <t>80</t>
  </si>
  <si>
    <t>82</t>
  </si>
  <si>
    <t>HR15N</t>
  </si>
  <si>
    <t>ETM 004 POS.100 &gt; M20</t>
  </si>
  <si>
    <t>0,25</t>
  </si>
  <si>
    <t>ETM 004 POS.116 &lt;= M16</t>
  </si>
  <si>
    <t>22</t>
  </si>
  <si>
    <t>32</t>
  </si>
  <si>
    <t>70</t>
  </si>
  <si>
    <t>76</t>
  </si>
  <si>
    <t>800</t>
  </si>
  <si>
    <t>1040</t>
  </si>
  <si>
    <t>2/3H1 MÁX.</t>
  </si>
  <si>
    <t>22 - 32</t>
  </si>
  <si>
    <t>ETM 004 POS.116 &gt; M16</t>
  </si>
  <si>
    <t>23</t>
  </si>
  <si>
    <t>34</t>
  </si>
  <si>
    <t>820</t>
  </si>
  <si>
    <t>1060</t>
  </si>
  <si>
    <t>23 - 34</t>
  </si>
  <si>
    <t>ETM 004 POS.118</t>
  </si>
  <si>
    <t>39</t>
  </si>
  <si>
    <t>75</t>
  </si>
  <si>
    <t>81</t>
  </si>
  <si>
    <t>1220</t>
  </si>
  <si>
    <t>3/4H1 MÁX.</t>
  </si>
  <si>
    <t>32 - 39</t>
  </si>
  <si>
    <t>ETM 004 POS.164</t>
  </si>
  <si>
    <t>27</t>
  </si>
  <si>
    <t>900</t>
  </si>
  <si>
    <t>0,015</t>
  </si>
  <si>
    <t>1/2H1 MÁX.</t>
  </si>
  <si>
    <t>22 - 27</t>
  </si>
  <si>
    <t>ETM 004 POS.177</t>
  </si>
  <si>
    <t>33</t>
  </si>
  <si>
    <t>1050</t>
  </si>
  <si>
    <t>33 - 39</t>
  </si>
  <si>
    <t>ETM 004 POS.178</t>
  </si>
  <si>
    <t>43</t>
  </si>
  <si>
    <t>1300</t>
  </si>
  <si>
    <t>39 - 42</t>
  </si>
  <si>
    <t>79</t>
  </si>
  <si>
    <t>83</t>
  </si>
  <si>
    <t>ETM 004 POS.183</t>
  </si>
  <si>
    <t>38</t>
  </si>
  <si>
    <t>940</t>
  </si>
  <si>
    <t>33 - 38</t>
  </si>
  <si>
    <t>78</t>
  </si>
  <si>
    <t>ETM 004 POS.188</t>
  </si>
  <si>
    <t>1340</t>
  </si>
  <si>
    <t>39 - 43</t>
  </si>
  <si>
    <t>ETM 004 POS.198</t>
  </si>
  <si>
    <t>1190</t>
  </si>
  <si>
    <t>ETM 004 POS.203</t>
  </si>
  <si>
    <t>32 - 38</t>
  </si>
  <si>
    <t>ETM 004 POS.204</t>
  </si>
  <si>
    <t>28</t>
  </si>
  <si>
    <t>950</t>
  </si>
  <si>
    <t>1035</t>
  </si>
  <si>
    <t>NÃO EXCEDER 10% DE PROFUNDIDADE NA RAIZ E 33% NA CRISTA DA ROSCA</t>
  </si>
  <si>
    <t>28 - 33</t>
  </si>
  <si>
    <t>ETM 004 POS.208</t>
  </si>
  <si>
    <t>320</t>
  </si>
  <si>
    <t>370</t>
  </si>
  <si>
    <t>HV</t>
  </si>
  <si>
    <t>320 - 370</t>
  </si>
  <si>
    <t>HV 0,3</t>
  </si>
  <si>
    <t>380</t>
  </si>
  <si>
    <t>ETM 004 POS.223</t>
  </si>
  <si>
    <t>25</t>
  </si>
  <si>
    <t>31</t>
  </si>
  <si>
    <t>830</t>
  </si>
  <si>
    <t>1030</t>
  </si>
  <si>
    <t>25 - 31</t>
  </si>
  <si>
    <t>72</t>
  </si>
  <si>
    <t>ETM 004 POS.230</t>
  </si>
  <si>
    <t>38 - 42</t>
  </si>
  <si>
    <t>ETM 004 POS.231</t>
  </si>
  <si>
    <t>660</t>
  </si>
  <si>
    <t>MÍNIMO 30HV ACIMA DA DUREZA DO NÚCLEO</t>
  </si>
  <si>
    <t>ETM 004 POS.234</t>
  </si>
  <si>
    <t>45</t>
  </si>
  <si>
    <t>52</t>
  </si>
  <si>
    <t>1405</t>
  </si>
  <si>
    <t>1710</t>
  </si>
  <si>
    <t>45 - 52</t>
  </si>
  <si>
    <t>88</t>
  </si>
  <si>
    <t>ETM 004 POS.236</t>
  </si>
  <si>
    <t>TEMPERADO EM ATMOSFERA LEVEMENTE CARBONETANTE COM HV 0,3 PT1 E PT3 (0,12MM), ONDE O PONTO PT3, NÃO PODE SER MAIOR QUE PONTO 1 EM 30 HV</t>
  </si>
  <si>
    <t>ETM 004 POS.237</t>
  </si>
  <si>
    <t>53</t>
  </si>
  <si>
    <t>45 - 53</t>
  </si>
  <si>
    <t>ETM 004 POS.240</t>
  </si>
  <si>
    <t>35</t>
  </si>
  <si>
    <t>35 - 39</t>
  </si>
  <si>
    <t>ETM 004 POS.242</t>
  </si>
  <si>
    <t>29</t>
  </si>
  <si>
    <t>29 - 33</t>
  </si>
  <si>
    <t>ETM 004 POS.244</t>
  </si>
  <si>
    <t>ETM 004 POS.248</t>
  </si>
  <si>
    <t>26</t>
  </si>
  <si>
    <t>120000</t>
  </si>
  <si>
    <t>150000</t>
  </si>
  <si>
    <t>PSI</t>
  </si>
  <si>
    <t>26 - 33</t>
  </si>
  <si>
    <t>ETM 004 POS.252</t>
  </si>
  <si>
    <t>1200</t>
  </si>
  <si>
    <t>34 - 38</t>
  </si>
  <si>
    <t>400</t>
  </si>
  <si>
    <t>470</t>
  </si>
  <si>
    <t>ETM 004 POS.253</t>
  </si>
  <si>
    <t>269</t>
  </si>
  <si>
    <t>321</t>
  </si>
  <si>
    <t>HB</t>
  </si>
  <si>
    <t>269 - 321</t>
  </si>
  <si>
    <t>160000</t>
  </si>
  <si>
    <t>25  34</t>
  </si>
  <si>
    <t>77</t>
  </si>
  <si>
    <t>19</t>
  </si>
  <si>
    <t>30</t>
  </si>
  <si>
    <t>100000</t>
  </si>
  <si>
    <t>144000</t>
  </si>
  <si>
    <t>ETM 004 POS.264</t>
  </si>
  <si>
    <t>40</t>
  </si>
  <si>
    <t>1260</t>
  </si>
  <si>
    <t>40 - 43</t>
  </si>
  <si>
    <t>ETM 004 POS.269</t>
  </si>
  <si>
    <t>980</t>
  </si>
  <si>
    <t>0,03</t>
  </si>
  <si>
    <t>0,07</t>
  </si>
  <si>
    <t>33 - 37</t>
  </si>
  <si>
    <t>DUREZA DA SUPERFICIE, IGUAL A DUREZA DO NÚCLEO</t>
  </si>
  <si>
    <t>ETM 004 POS.27 &lt;= 5/8"</t>
  </si>
  <si>
    <t>12000</t>
  </si>
  <si>
    <t>187000</t>
  </si>
  <si>
    <t>25 - 40</t>
  </si>
  <si>
    <t>172000</t>
  </si>
  <si>
    <t>155000</t>
  </si>
  <si>
    <t>180000</t>
  </si>
  <si>
    <t>82,0</t>
  </si>
  <si>
    <t>95,0</t>
  </si>
  <si>
    <t>HRB</t>
  </si>
  <si>
    <t>500</t>
  </si>
  <si>
    <t>705</t>
  </si>
  <si>
    <t>23 - 32</t>
  </si>
  <si>
    <t>24</t>
  </si>
  <si>
    <t>840</t>
  </si>
  <si>
    <t>24 - 33</t>
  </si>
  <si>
    <t>71</t>
  </si>
  <si>
    <t>73</t>
  </si>
  <si>
    <t>ETM 004 POS.57</t>
  </si>
  <si>
    <t>VER PÁGINA 6, PARÁGRAFO 2.2.2 (FIAT) E 5/23, PARÁGRAFO 4.2 (IVECO)</t>
  </si>
  <si>
    <t>ETM 002 POS.277</t>
  </si>
  <si>
    <t>GEOMET PRATA 321 + PLUS (L OU VLH)</t>
  </si>
  <si>
    <t>ISENTO DE FALHAS, MANCHAS E OXIDAÇÕES.</t>
  </si>
  <si>
    <t>720 H (COM BASE NA NORMA VW TL 245)</t>
  </si>
  <si>
    <t>ETM 004 POS.212</t>
  </si>
  <si>
    <t>133000</t>
  </si>
  <si>
    <t>28 - 34</t>
  </si>
  <si>
    <t>ETM 002 POS.129</t>
  </si>
  <si>
    <t>ZINCADO BICROMATIZADO PRETO</t>
  </si>
  <si>
    <t>72H CORROSÃO VERMELHA (5% DE ÁREA) 96H CORROSÃO BRANCA</t>
  </si>
  <si>
    <t>ETM 004 POS.169</t>
  </si>
  <si>
    <t>36</t>
  </si>
  <si>
    <t>36 - 40</t>
  </si>
  <si>
    <t>ETM 004 POS.197</t>
  </si>
  <si>
    <t>1125</t>
  </si>
  <si>
    <t>35 - 40</t>
  </si>
  <si>
    <t>176000</t>
  </si>
  <si>
    <t>120H CORROSÃO VERMELHA</t>
  </si>
  <si>
    <t>45,5</t>
  </si>
  <si>
    <t>62,5</t>
  </si>
  <si>
    <t>HRA</t>
  </si>
  <si>
    <t>420</t>
  </si>
  <si>
    <t>850</t>
  </si>
  <si>
    <t>45,5 - 62,5</t>
  </si>
  <si>
    <t>ETM 004 POS.245</t>
  </si>
  <si>
    <t>IGUAL A DO NÚCLEO</t>
  </si>
  <si>
    <t>ETM 004 POS.176</t>
  </si>
  <si>
    <t>ETM 002 POS.132</t>
  </si>
  <si>
    <t>12H CORROSÃO BRANCA</t>
  </si>
  <si>
    <t>ETM 004 POS.256</t>
  </si>
  <si>
    <t>35 - 38</t>
  </si>
  <si>
    <t>ETM 002 POS.185</t>
  </si>
  <si>
    <t>ETM 004 POS.239</t>
  </si>
  <si>
    <t>50</t>
  </si>
  <si>
    <t>45 - 50</t>
  </si>
  <si>
    <t>ETM 002 POS.043</t>
  </si>
  <si>
    <t>192H CORROSÃO VERMELHA</t>
  </si>
  <si>
    <t>ETM 004 POS.162</t>
  </si>
  <si>
    <t>995</t>
  </si>
  <si>
    <t>23 - 30</t>
  </si>
  <si>
    <t>ETM 002 POS.258</t>
  </si>
  <si>
    <t>ETM 002 POS.259</t>
  </si>
  <si>
    <t>ZINCADO TRIVALENTE PRETO</t>
  </si>
  <si>
    <t>ETM 004 POS.259</t>
  </si>
  <si>
    <t>930</t>
  </si>
  <si>
    <t>23 - 28</t>
  </si>
  <si>
    <t>ETM 002 POS.034</t>
  </si>
  <si>
    <t>ETM 002 POS.316</t>
  </si>
  <si>
    <t>72H CORROSÃO BRANCA 140H CORROSÃO VERMELHA</t>
  </si>
  <si>
    <t>ETM 004 POS.218</t>
  </si>
  <si>
    <t>38 - 43</t>
  </si>
  <si>
    <t>ETM 004 POS.172</t>
  </si>
  <si>
    <t>40 - 45</t>
  </si>
  <si>
    <t>ETM 002 POS.083</t>
  </si>
  <si>
    <t>GEOMET PRATA 321 + PLUS VL OFL-T647</t>
  </si>
  <si>
    <t>250H CORROSÃO BRANCA, 500H CORROSÃO VERMELHA</t>
  </si>
  <si>
    <t>ETM 002 POS.293</t>
  </si>
  <si>
    <t>GEOMET PRATA 500 GRAU A</t>
  </si>
  <si>
    <t>ETM 004 POS.216</t>
  </si>
  <si>
    <t>DUREZA DO NÚCLEO (REGIÃO DO CONE)</t>
  </si>
  <si>
    <t>256</t>
  </si>
  <si>
    <t>302</t>
  </si>
  <si>
    <t>90</t>
  </si>
  <si>
    <t>105</t>
  </si>
  <si>
    <t>KG/MM²</t>
  </si>
  <si>
    <t>27 - 31</t>
  </si>
  <si>
    <t>ETM 002 POS.039</t>
  </si>
  <si>
    <t>72H CORROSÃO BRANCA</t>
  </si>
  <si>
    <t>41</t>
  </si>
  <si>
    <t>1310</t>
  </si>
  <si>
    <t>N/MM²</t>
  </si>
  <si>
    <t>37 - 41</t>
  </si>
  <si>
    <t>ETM 004 POS.182</t>
  </si>
  <si>
    <t>1150</t>
  </si>
  <si>
    <t>27 - 36</t>
  </si>
  <si>
    <t>ETM 002 POS.120</t>
  </si>
  <si>
    <t>ETM 004 POS.150</t>
  </si>
  <si>
    <t>84</t>
  </si>
  <si>
    <t>32 - 36</t>
  </si>
  <si>
    <t>ETM 002 POS.214</t>
  </si>
  <si>
    <t>ETM 002 POS.242</t>
  </si>
  <si>
    <t>ZINCADO BICROMATIZADO VERDE OLIVA</t>
  </si>
  <si>
    <t>ETM 002 POS.298</t>
  </si>
  <si>
    <t>ETM 002 POS.308</t>
  </si>
  <si>
    <t>192H SEM CORROSÃO VERMELHA</t>
  </si>
  <si>
    <t>ETM 002 POS.115 AGCO</t>
  </si>
  <si>
    <t>ETM 002 POS.115 MERITOR</t>
  </si>
  <si>
    <t>ETM 002 POS.312</t>
  </si>
  <si>
    <t>72H CORROSÃO BRANCA, 120H CORROSÃO VERMELHA</t>
  </si>
  <si>
    <t>ETM 004 POS.266</t>
  </si>
  <si>
    <t>MÍN. 30HV ACIMA DA DUREZA DO NÚCLEO MÁX. 400HV 0,3</t>
  </si>
  <si>
    <t>ETM 002 POS.268</t>
  </si>
  <si>
    <t>FOSFATIZADO E ENSABOADO</t>
  </si>
  <si>
    <t>DUREZA DA CAMADA HT</t>
  </si>
  <si>
    <t>55</t>
  </si>
  <si>
    <t>62</t>
  </si>
  <si>
    <t>PROFUNDIDADE DA CAMADA</t>
  </si>
  <si>
    <t>0,80</t>
  </si>
  <si>
    <t>ETM 002 POS.291</t>
  </si>
  <si>
    <t>FOSFATO DE ZINCO "QUASE" AMORFO 15 MINUTOS + OLEO</t>
  </si>
  <si>
    <t>0,11</t>
  </si>
  <si>
    <t>ETM 002 POS.118</t>
  </si>
  <si>
    <t>2H CORROSÃO VERMELHA</t>
  </si>
  <si>
    <t>ETM 002 POS.212</t>
  </si>
  <si>
    <t>ZINCADO TRIVALENTE BRANCO OU INCOLOR</t>
  </si>
  <si>
    <t>ETM 004 POS.174</t>
  </si>
  <si>
    <t>1070</t>
  </si>
  <si>
    <t>ETM 004 POS.119</t>
  </si>
  <si>
    <t>7/8H1 MÁX.</t>
  </si>
  <si>
    <t>ETM 002 POS.148</t>
  </si>
  <si>
    <t>96H CORROSÃO BRANCA, 168H CORROSÃO VERMELHA</t>
  </si>
  <si>
    <t>835</t>
  </si>
  <si>
    <t>925</t>
  </si>
  <si>
    <t>24 - 29</t>
  </si>
  <si>
    <t>74</t>
  </si>
  <si>
    <t>29 - 37</t>
  </si>
  <si>
    <t>1000</t>
  </si>
  <si>
    <t>28 - 32</t>
  </si>
  <si>
    <t>33 - 40</t>
  </si>
  <si>
    <t>24 - 32</t>
  </si>
  <si>
    <t>ETM 004 POS.160</t>
  </si>
  <si>
    <t>37 - 43</t>
  </si>
  <si>
    <t>785</t>
  </si>
  <si>
    <t>981</t>
  </si>
  <si>
    <t>18 - 31</t>
  </si>
  <si>
    <t>ETM 002 POS.270</t>
  </si>
  <si>
    <t>ETM 004 POS.181</t>
  </si>
  <si>
    <t>720</t>
  </si>
  <si>
    <t>ETM 004 POS.214</t>
  </si>
  <si>
    <t>ETM 002 POS.051</t>
  </si>
  <si>
    <t>FERRO/ZINCO/FERRO</t>
  </si>
  <si>
    <t>ETM 002 POS.051 CABEÇA SEXTAVADA</t>
  </si>
  <si>
    <t>ETM 002 POS.051 CABEÇA FLANGEADA</t>
  </si>
  <si>
    <t>29 - 36</t>
  </si>
  <si>
    <t>ETM 004 POS.258</t>
  </si>
  <si>
    <t>FOSFATO DE ZINCO "QUASE" AMORFO E OLEADO</t>
  </si>
  <si>
    <t>ETM 002 POS.127</t>
  </si>
  <si>
    <t>DELTATONE PRETO</t>
  </si>
  <si>
    <t>ESPESSURA DA CAMADA DE LAMELAS</t>
  </si>
  <si>
    <t>240H CORROSÃO BRANCA (3 CICLOS KESTERNICH), 480H CORROSÃO VERMELHA (3 CICLOS KESTERNICH)</t>
  </si>
  <si>
    <t>ETM 002 POS.215</t>
  </si>
  <si>
    <t>48H CORROSÃO VERMELHA (ÁCIDO ACÉTICO)</t>
  </si>
  <si>
    <t>ETM 004 POS.243</t>
  </si>
  <si>
    <t>ETM 002 POS.220</t>
  </si>
  <si>
    <t>FOSFATO DE ZINCO + SELANTE "SEAL REVEST"</t>
  </si>
  <si>
    <t>ETM 002 POS.197</t>
  </si>
  <si>
    <t>GEOMET PRATA 321 + PLUS L</t>
  </si>
  <si>
    <t>ETM 002 POS.295</t>
  </si>
  <si>
    <t>ETM 002 POS.256</t>
  </si>
  <si>
    <t>480H CORROSÃO VERMELHA + CICLOS KESTERNICH CONF. ETM</t>
  </si>
  <si>
    <t>ETM 004 POS.260</t>
  </si>
  <si>
    <t>80,5</t>
  </si>
  <si>
    <t>ETM 002 POS.275</t>
  </si>
  <si>
    <t>ETM 002 POS.328</t>
  </si>
  <si>
    <t>ETM 002 POS.290</t>
  </si>
  <si>
    <t>ZINCADO TRIVALENTE AMARELO + LUBRIFICANTE TORQUE'N TENSION</t>
  </si>
  <si>
    <t>120H CORROSÃO BRANCA, 240H CORROSÃO VERMELHA</t>
  </si>
  <si>
    <t>ETM 002 POS.317</t>
  </si>
  <si>
    <t>DELTA-PROTEKT KL100 + DETA-SEAL GZ PRATA</t>
  </si>
  <si>
    <t>480H CORROSÃO BRANCA, 720H CORROSÃO VERMELHA</t>
  </si>
  <si>
    <t>ETM 002 POS.325</t>
  </si>
  <si>
    <t>MAGNI 501</t>
  </si>
  <si>
    <t>ETM 002 POS.333</t>
  </si>
  <si>
    <t>FOSFATO DE ZINCO + ÓLEO</t>
  </si>
  <si>
    <t>ETM 004 POS.271</t>
  </si>
  <si>
    <t>44</t>
  </si>
  <si>
    <t>450</t>
  </si>
  <si>
    <t>HV0,3</t>
  </si>
  <si>
    <t>1400</t>
  </si>
  <si>
    <t>0,85H1 MÁX.</t>
  </si>
  <si>
    <t>1290</t>
  </si>
  <si>
    <t>39 - 44</t>
  </si>
  <si>
    <t>PROVA DE CARGA</t>
  </si>
  <si>
    <t>970</t>
  </si>
  <si>
    <t>ALONGAMENTO</t>
  </si>
  <si>
    <t>8% MÍN.</t>
  </si>
  <si>
    <t>ESTRICÇÃO</t>
  </si>
  <si>
    <t>44% MÍN.</t>
  </si>
  <si>
    <t>ETM 002 POS.202</t>
  </si>
  <si>
    <t>6H CORROSÃO BRANCA, 72H CORROSÃO VERMELHA</t>
  </si>
  <si>
    <t>ETM 002 POS.313</t>
  </si>
  <si>
    <t>96H CORROSÃO BRANCA, 240H CORROSÃO VERMELHA</t>
  </si>
  <si>
    <t>ETM 002 POS.239</t>
  </si>
  <si>
    <t>GALVANIZADO A FOGO</t>
  </si>
  <si>
    <t>ETM 004 POS.217</t>
  </si>
  <si>
    <t>883</t>
  </si>
  <si>
    <t>27 - 38</t>
  </si>
  <si>
    <t>ETM 004 POS.158</t>
  </si>
  <si>
    <t>36 - 41</t>
  </si>
  <si>
    <t>ETM 002 POS.340</t>
  </si>
  <si>
    <t>ZINCO TRIVALENTE PRETO</t>
  </si>
  <si>
    <t>168H CORROSÃO BRANCA, 360H CORROSÃO VERMELHA</t>
  </si>
  <si>
    <t>ETM 004 POS.250</t>
  </si>
  <si>
    <t>ETM 002 POS.273</t>
  </si>
  <si>
    <t>ETM 004 POS.219</t>
  </si>
  <si>
    <t>106</t>
  </si>
  <si>
    <t>119</t>
  </si>
  <si>
    <t>CARACTERÍSTICAS ESPESCIAIS</t>
  </si>
  <si>
    <t>EXPECTRÔMETRO / CONF. CERT. QUAL. FORNECEDOR</t>
  </si>
  <si>
    <t>RECEBIMENTO MP</t>
  </si>
  <si>
    <t>Protótipo</t>
  </si>
  <si>
    <t>X</t>
  </si>
  <si>
    <t>Pré lançamento</t>
  </si>
  <si>
    <r>
      <rPr>
        <b/>
        <sz val="8"/>
        <color theme="0"/>
        <rFont val="Arial"/>
        <family val="2"/>
      </rPr>
      <t>.</t>
    </r>
    <r>
      <rPr>
        <b/>
        <sz val="8"/>
        <rFont val="Arial"/>
        <family val="2"/>
      </rPr>
      <t>Caracteristicas Especiais</t>
    </r>
  </si>
  <si>
    <t>CONFORMAR A FRIO</t>
  </si>
  <si>
    <t>FORJAR A QUENTE</t>
  </si>
  <si>
    <t>LAMINAR ROSCA</t>
  </si>
  <si>
    <t>LAMINAR RECARTILHA</t>
  </si>
  <si>
    <t>LAMINAR ROSCA L1</t>
  </si>
  <si>
    <t>LAMINAR ROSCA L2</t>
  </si>
  <si>
    <t>OLEAR COM ÓLEO PROTETIVO</t>
  </si>
  <si>
    <t>RECEBIMENTO USINAGEM</t>
  </si>
  <si>
    <t>USINAGEM MANUAL</t>
  </si>
  <si>
    <t>USINAGEM AUTOMÁTICA</t>
  </si>
  <si>
    <t>DESEMPENAR 100%</t>
  </si>
  <si>
    <t>DESEMPENAR</t>
  </si>
  <si>
    <t>LIMPEZA MECÂNICA</t>
  </si>
  <si>
    <t>SELEÇÃO AUTOMÁTICA 100%</t>
  </si>
  <si>
    <t>TRATAMENTO TÉRMICO</t>
  </si>
  <si>
    <t>APONTAR</t>
  </si>
  <si>
    <t>FURAR E ESCAREAR</t>
  </si>
  <si>
    <t>FURAR</t>
  </si>
  <si>
    <t>INSPEÇÃO FINAL</t>
  </si>
  <si>
    <t>PROCESSOS</t>
  </si>
  <si>
    <t>QUEIMA DE ÓLEO</t>
  </si>
  <si>
    <t>FALHAS SUPERFICIAIS</t>
  </si>
  <si>
    <t>ISENTO DE REBARBAS, FALHAS E DEFORMAÇÕES</t>
  </si>
  <si>
    <t>DOBRA E TRINCAS</t>
  </si>
  <si>
    <t>JATEADEIRA</t>
  </si>
  <si>
    <t>JATEAR</t>
  </si>
  <si>
    <t>ISENTO DE SUJIDADES</t>
  </si>
  <si>
    <t>ISENTO DE MARCAS</t>
  </si>
  <si>
    <t>DIMENSIONAL / MATERIAL / ENSAIOS COMPLEMENTARES</t>
  </si>
  <si>
    <t>CONFORME DESENHO E/OU NORMAS DO CLIENTE</t>
  </si>
  <si>
    <t>CONFORME PLANO DE CONTROLE DO PRODUTO</t>
  </si>
  <si>
    <t>10 PEÇAS</t>
  </si>
  <si>
    <t>FORM. 074</t>
  </si>
  <si>
    <t>A CADA 1 ANO CONFORME  IT 8.2.4.1 A2</t>
  </si>
  <si>
    <t>INSPEÇÃO DE LAYOUT</t>
  </si>
  <si>
    <t>RECEBIMENTO</t>
  </si>
  <si>
    <t>LAMINAR ESTRIAS</t>
  </si>
  <si>
    <t>CORTAR</t>
  </si>
  <si>
    <r>
      <rPr>
        <b/>
        <sz val="10"/>
        <color theme="0"/>
        <rFont val="Arial"/>
        <family val="2"/>
      </rPr>
      <t>.</t>
    </r>
    <r>
      <rPr>
        <b/>
        <sz val="10"/>
        <rFont val="Arial"/>
        <family val="2"/>
      </rPr>
      <t>Produto</t>
    </r>
  </si>
  <si>
    <r>
      <rPr>
        <b/>
        <sz val="10"/>
        <color theme="0"/>
        <rFont val="Arial"/>
        <family val="2"/>
      </rPr>
      <t>.</t>
    </r>
    <r>
      <rPr>
        <b/>
        <sz val="10"/>
        <rFont val="Arial"/>
        <family val="2"/>
      </rPr>
      <t>Processo</t>
    </r>
  </si>
  <si>
    <r>
      <rPr>
        <b/>
        <sz val="8"/>
        <color theme="0"/>
        <rFont val="Arial"/>
        <family val="2"/>
      </rPr>
      <t>.</t>
    </r>
    <r>
      <rPr>
        <b/>
        <sz val="8"/>
        <rFont val="Arial"/>
        <family val="2"/>
      </rPr>
      <t>Tol./Espec. Prod./Proc.</t>
    </r>
  </si>
  <si>
    <r>
      <rPr>
        <b/>
        <sz val="8"/>
        <color theme="0"/>
        <rFont val="Arial"/>
        <family val="2"/>
      </rPr>
      <t>.</t>
    </r>
    <r>
      <rPr>
        <b/>
        <sz val="8"/>
        <rFont val="Arial"/>
        <family val="2"/>
      </rPr>
      <t>Técn. Avaliação/Medição</t>
    </r>
  </si>
  <si>
    <r>
      <rPr>
        <b/>
        <sz val="8"/>
        <color theme="0"/>
        <rFont val="Arial"/>
        <family val="2"/>
      </rPr>
      <t>.</t>
    </r>
    <r>
      <rPr>
        <b/>
        <sz val="8"/>
        <rFont val="Arial"/>
        <family val="2"/>
      </rPr>
      <t>Tam. Amostra</t>
    </r>
  </si>
  <si>
    <r>
      <rPr>
        <b/>
        <sz val="8"/>
        <color theme="0"/>
        <rFont val="Arial"/>
        <family val="2"/>
      </rPr>
      <t>.</t>
    </r>
    <r>
      <rPr>
        <b/>
        <sz val="8"/>
        <rFont val="Arial"/>
        <family val="2"/>
      </rPr>
      <t>Freq. Amostra</t>
    </r>
  </si>
  <si>
    <r>
      <rPr>
        <b/>
        <sz val="8"/>
        <color theme="0"/>
        <rFont val="Arial"/>
        <family val="2"/>
      </rPr>
      <t>.</t>
    </r>
    <r>
      <rPr>
        <b/>
        <sz val="8"/>
        <rFont val="Arial"/>
        <family val="2"/>
      </rPr>
      <t>Método de Controle</t>
    </r>
  </si>
  <si>
    <r>
      <rPr>
        <b/>
        <sz val="10"/>
        <color theme="0"/>
        <rFont val="Arial"/>
        <family val="2"/>
      </rPr>
      <t>.</t>
    </r>
    <r>
      <rPr>
        <b/>
        <sz val="10"/>
        <rFont val="Arial"/>
        <family val="2"/>
      </rPr>
      <t>Plano de Reação</t>
    </r>
  </si>
  <si>
    <r>
      <rPr>
        <b/>
        <sz val="8"/>
        <color theme="0"/>
        <rFont val="Arial"/>
        <family val="2"/>
      </rPr>
      <t>.</t>
    </r>
    <r>
      <rPr>
        <b/>
        <sz val="8"/>
        <rFont val="Arial"/>
        <family val="2"/>
      </rPr>
      <t>Máquina para Produção</t>
    </r>
  </si>
  <si>
    <r>
      <rPr>
        <b/>
        <sz val="8"/>
        <color theme="0"/>
        <rFont val="Arial"/>
        <family val="2"/>
      </rPr>
      <t>.</t>
    </r>
    <r>
      <rPr>
        <b/>
        <sz val="8"/>
        <rFont val="Arial"/>
        <family val="2"/>
      </rPr>
      <t>Nome do Proc. ou Descrição da Operação</t>
    </r>
  </si>
  <si>
    <r>
      <rPr>
        <b/>
        <sz val="8"/>
        <color theme="0"/>
        <rFont val="Arial"/>
        <family val="2"/>
      </rPr>
      <t>.</t>
    </r>
    <r>
      <rPr>
        <b/>
        <sz val="8"/>
        <rFont val="Arial"/>
        <family val="2"/>
      </rPr>
      <t>Nº Peça/Processo</t>
    </r>
  </si>
  <si>
    <t>CORTE AUTOMÁTICO</t>
  </si>
  <si>
    <t>TÊMPERA POR INDUÇÃO</t>
  </si>
  <si>
    <t>INSPEÇÃO</t>
  </si>
  <si>
    <t>MATERIAL</t>
  </si>
  <si>
    <t>ETM 004</t>
  </si>
  <si>
    <t>ETM 002</t>
  </si>
  <si>
    <t>1.</t>
  </si>
  <si>
    <t>2.</t>
  </si>
  <si>
    <t>3.</t>
  </si>
  <si>
    <t>4.</t>
  </si>
  <si>
    <t>Preencher o cabeçalho da planilha de Matéria Prima, demais planilhas não permitirão alterações em seus cabeçalhos.</t>
  </si>
  <si>
    <t>Selecionar tipo de plano de controle (Protótipo, Pré-lançamento, ou Produção).</t>
  </si>
  <si>
    <t>Verificar planilha de Recebimento MP e fazer alguma alteração se necessário.</t>
  </si>
  <si>
    <t>Nas planilhas de processo sempre preencher os números de processo de acordo com a ordem das operações do Plano de controle.</t>
  </si>
  <si>
    <t>INSTRUÇÕES PARA ELABORAÇÃO DE PLANO DE CONTROLE</t>
  </si>
  <si>
    <t>5.</t>
  </si>
  <si>
    <t>6.</t>
  </si>
  <si>
    <t>Sempre verificar se os campos: Tam. Amostra, Método de controle, e Plano de reação, foram preenchidos corretamente e fazer alterações caso necessário.</t>
  </si>
  <si>
    <t>7.</t>
  </si>
  <si>
    <t xml:space="preserve">Utilizar Botão </t>
  </si>
  <si>
    <t>8.</t>
  </si>
  <si>
    <t>9.</t>
  </si>
  <si>
    <t>7.1</t>
  </si>
  <si>
    <t>Para a planilha de Inspeção final, sempre, adicionar data Inicial e da revisão do desenho de Produto ou do desenho de processo caso não exista desenho de produto.</t>
  </si>
  <si>
    <t>10.</t>
  </si>
  <si>
    <t>Para verificar quaquer tipo de lista de validação de dados, deve-se reesibir planilha de DADOS.</t>
  </si>
  <si>
    <t>BOM TRABALHO!!</t>
  </si>
  <si>
    <t>11.</t>
  </si>
  <si>
    <t>Sempre adicionar N° de processo e conferir planilha de EMBALAR.</t>
  </si>
  <si>
    <t>EM CASO DE PROBLEMAS OU DÚVIDAS, ENTRAR EM CONTATO COM PEDRO</t>
  </si>
  <si>
    <t>CONFORMADORA</t>
  </si>
  <si>
    <t>CHANFRAR</t>
  </si>
  <si>
    <t>CHANFRAR L1</t>
  </si>
  <si>
    <t>CHANFRA L2</t>
  </si>
  <si>
    <r>
      <t>SEMPRE antes de fazer qualquer alteração neste modelo, SALVAR COMO: "</t>
    </r>
    <r>
      <rPr>
        <b/>
        <i/>
        <sz val="12"/>
        <color rgb="FFC00000"/>
        <rFont val="Arial"/>
        <family val="2"/>
      </rPr>
      <t>Código do item</t>
    </r>
    <r>
      <rPr>
        <b/>
        <sz val="12"/>
        <color rgb="FFC00000"/>
        <rFont val="Arial"/>
        <family val="2"/>
      </rPr>
      <t>"_"</t>
    </r>
    <r>
      <rPr>
        <b/>
        <i/>
        <sz val="12"/>
        <color rgb="FFC00000"/>
        <rFont val="Arial"/>
        <family val="2"/>
      </rPr>
      <t>Cliente</t>
    </r>
    <r>
      <rPr>
        <b/>
        <sz val="12"/>
        <color rgb="FFC00000"/>
        <rFont val="Arial"/>
        <family val="2"/>
      </rPr>
      <t>". EX.: P8930_ZF</t>
    </r>
  </si>
  <si>
    <r>
      <t xml:space="preserve">Caso o item passe pelo processo de </t>
    </r>
    <r>
      <rPr>
        <b/>
        <sz val="10"/>
        <rFont val="Arial"/>
        <family val="2"/>
      </rPr>
      <t>MAGNAFLUX</t>
    </r>
    <r>
      <rPr>
        <sz val="10"/>
        <rFont val="Arial"/>
        <family val="2"/>
      </rPr>
      <t xml:space="preserve"> ou </t>
    </r>
    <r>
      <rPr>
        <b/>
        <sz val="10"/>
        <rFont val="Arial"/>
        <family val="2"/>
      </rPr>
      <t>JATEAMENTO</t>
    </r>
    <r>
      <rPr>
        <sz val="10"/>
        <rFont val="Arial"/>
        <family val="2"/>
      </rPr>
      <t>, utilizar respectivos botões para adicionar remover planilhas desses processos</t>
    </r>
  </si>
  <si>
    <r>
      <t xml:space="preserve">Caso o item tenha mais de um </t>
    </r>
    <r>
      <rPr>
        <b/>
        <sz val="10"/>
        <rFont val="Arial"/>
        <family val="2"/>
      </rPr>
      <t>TS</t>
    </r>
    <r>
      <rPr>
        <sz val="10"/>
        <rFont val="Arial"/>
        <family val="2"/>
      </rPr>
      <t xml:space="preserve"> ou </t>
    </r>
    <r>
      <rPr>
        <b/>
        <sz val="10"/>
        <rFont val="Arial"/>
        <family val="2"/>
      </rPr>
      <t>TT</t>
    </r>
    <r>
      <rPr>
        <sz val="10"/>
        <rFont val="Arial"/>
        <family val="2"/>
      </rPr>
      <t>, criar uma cópia da planilha desejada.</t>
    </r>
  </si>
  <si>
    <r>
      <t xml:space="preserve">Para as planilhas de </t>
    </r>
    <r>
      <rPr>
        <b/>
        <sz val="10"/>
        <rFont val="Arial"/>
        <family val="2"/>
      </rPr>
      <t>TRATAMENTO TÉRMICO</t>
    </r>
    <r>
      <rPr>
        <sz val="10"/>
        <rFont val="Arial"/>
        <family val="2"/>
      </rPr>
      <t xml:space="preserve"> e </t>
    </r>
    <r>
      <rPr>
        <b/>
        <sz val="10"/>
        <rFont val="Arial"/>
        <family val="2"/>
      </rPr>
      <t>TRATAMENTO SUPERFICIAL</t>
    </r>
    <r>
      <rPr>
        <sz val="10"/>
        <rFont val="Arial"/>
        <family val="2"/>
      </rPr>
      <t>, alterar campo do N° e posição da ETM para gerar plano.</t>
    </r>
  </si>
  <si>
    <t>ETM 002 POS.095</t>
  </si>
  <si>
    <t>ETM 002 POS.046</t>
  </si>
  <si>
    <t>ETM 002 POS.092</t>
  </si>
  <si>
    <t>ETM 002 POS.094</t>
  </si>
  <si>
    <t>ETM 002 POS.032</t>
  </si>
  <si>
    <t>REPASSAR ROSCA</t>
  </si>
  <si>
    <t>NORMALIZAR</t>
  </si>
  <si>
    <t>ETM 002 POS.338</t>
  </si>
  <si>
    <t>GEOMET PRATA 321 + PLUS
ML</t>
  </si>
  <si>
    <t>, que se encontra em todas as planilhas, para adicionar nova planilha de Processo.</t>
  </si>
  <si>
    <t>LAMINAR ROSCA E RECARTILHA</t>
  </si>
  <si>
    <t>ETM 004 POS.265</t>
  </si>
  <si>
    <t>880</t>
  </si>
  <si>
    <t>REPASSAR ROSCA L1</t>
  </si>
  <si>
    <t>REPASSAR ROSCA L2</t>
  </si>
  <si>
    <t>APLICAR TRAVA</t>
  </si>
  <si>
    <t>ETM 002 POS.182</t>
  </si>
  <si>
    <t>16H CORROSÃO VERMELHA</t>
  </si>
  <si>
    <t>ENSAIO DTT</t>
  </si>
  <si>
    <t>LAMINAR ROSCA L1 E L2</t>
  </si>
  <si>
    <t>MAGNA TEST</t>
  </si>
  <si>
    <t>MAGNA TEST 100%</t>
  </si>
  <si>
    <t>12.</t>
  </si>
  <si>
    <t>Para carimbar o plano de controle com EIMES e cópia controlada, pressionar o botão</t>
  </si>
  <si>
    <t xml:space="preserve">         que encontra-se em todos os planos de processo.</t>
  </si>
  <si>
    <t>12.1</t>
  </si>
  <si>
    <t>Para remover o carimbo pressione o mesmo botão novamente.</t>
  </si>
  <si>
    <r>
      <rPr>
        <b/>
        <sz val="10"/>
        <rFont val="Arial"/>
        <family val="2"/>
      </rPr>
      <t>OBS</t>
    </r>
    <r>
      <rPr>
        <sz val="10"/>
        <rFont val="Arial"/>
        <family val="2"/>
      </rPr>
      <t xml:space="preserve">.: Para que o botão de carimbo funcione </t>
    </r>
    <r>
      <rPr>
        <b/>
        <sz val="10"/>
        <rFont val="Arial"/>
        <family val="2"/>
      </rPr>
      <t>APENAS UMA</t>
    </r>
    <r>
      <rPr>
        <sz val="10"/>
        <rFont val="Arial"/>
        <family val="2"/>
      </rPr>
      <t xml:space="preserve"> planilha deve estar selecionada, caso contrário o excel retornará um erro.</t>
    </r>
  </si>
  <si>
    <t>SELEÇÃO RELÓGIO 100%</t>
  </si>
  <si>
    <t>SELEÇÃO VISUAL 100%</t>
  </si>
  <si>
    <t>LAMINAR CANAIS</t>
  </si>
  <si>
    <t>ETM 002 POS.253</t>
  </si>
  <si>
    <t>INSTRUÇÕES PARA CADASTRO DE NOVA POSIÇÃO NA ETM</t>
  </si>
  <si>
    <r>
      <t>CASO A ESTEJA CADASTRANDO UMA POSIÇÃO DA</t>
    </r>
    <r>
      <rPr>
        <b/>
        <sz val="11"/>
        <color rgb="FFFF0000"/>
        <rFont val="Calibri"/>
        <family val="2"/>
        <scheme val="minor"/>
      </rPr>
      <t xml:space="preserve"> ETM 004</t>
    </r>
    <r>
      <rPr>
        <b/>
        <sz val="11"/>
        <color theme="1"/>
        <rFont val="Calibri"/>
        <family val="2"/>
        <scheme val="minor"/>
      </rPr>
      <t xml:space="preserve"> INSERIR AS INFORMAÇÕES ABAIXO DA LINHA AZUL</t>
    </r>
  </si>
  <si>
    <t>4. LOGO APÓS VOCE DEVERÁ ENCONTRAR UMA LINHA AZUL.</t>
  </si>
  <si>
    <t>1. PREENCHA O PADRÃO ABAIXO CONFORME ETM E POSIÇÃO DESEJADA.</t>
  </si>
  <si>
    <t>PADRÃO ETM 002</t>
  </si>
  <si>
    <t>ATENÇÃO, TODAS AS LINHAS DA PRIMEIRA COLUNA DA TABELA DEVEM ESTAR PREENCHIDAS CONFOME ETM E POSIÇÃO DESEJADA</t>
  </si>
  <si>
    <t>3. APÓS COPIADO O PADRÃO DESEJADO, SELECIONE A PRIMEIRA LINHA E PRIMEIRADA PRIMEIRA COLUNA DA TABELA A ESQUERDA E PRESSIONE AS TECLAS Ctrl+↓</t>
  </si>
  <si>
    <t>5. POR FIM SELECIONE A CELULA CONTENDO ETM E A POSIÇÃO COPIE-A  E COLE NA PLANILHA DADOS (ENCONTRA-SE OCULTA COMO PADRÃO), EM SUA DEVIDA TABELA.</t>
  </si>
  <si>
    <t>PADRÃO ETM 004</t>
  </si>
  <si>
    <t>TUDO PRONTO AGORA POSIÇÃO DA ETM JÁ ESTÁ CADASTRADA E PODE SER USADA NORMAMENTE NA PLANILHA DE TRAT. TÉRMICO OU TRAT. SUPERFICIAL</t>
  </si>
  <si>
    <t>4.1</t>
  </si>
  <si>
    <t>MÉTODO DE CONTROLE</t>
  </si>
  <si>
    <t>R.I.P.</t>
  </si>
  <si>
    <t>R.I.</t>
  </si>
  <si>
    <t>R.I.T.T.</t>
  </si>
  <si>
    <t>R.I.F.</t>
  </si>
  <si>
    <t>CADASTRO DE PROCESSO</t>
  </si>
  <si>
    <t>NOME DO PROCESSO:</t>
  </si>
  <si>
    <t>MÉTODO DE CONTROLE:</t>
  </si>
  <si>
    <t>NOVO PROCESSO</t>
  </si>
  <si>
    <t>2. SELECIONE E COPIE A PADRÃO DA ETM QUE DESEJA CONFORME IMAGEM ABAIXO,</t>
  </si>
  <si>
    <r>
      <t xml:space="preserve">CASO ESTEJA CADASTRANDO UMA POSIÇÃO DA </t>
    </r>
    <r>
      <rPr>
        <b/>
        <sz val="11"/>
        <color theme="5"/>
        <rFont val="Calibri"/>
        <family val="2"/>
        <scheme val="minor"/>
      </rPr>
      <t>ETM 002,</t>
    </r>
    <r>
      <rPr>
        <b/>
        <sz val="11"/>
        <color theme="1"/>
        <rFont val="Calibri"/>
        <family val="2"/>
        <scheme val="minor"/>
      </rPr>
      <t xml:space="preserve"> INSERIR AS INFORMAÇÕES ACIMA DA LINHA AZUL CONFORME INDICADO A SEGUIR</t>
    </r>
  </si>
  <si>
    <t>CASO UMA OU MAIS CARACTERÍSTICAS DOS PADRÕES NÃO SE ENCONTREM NA POSIÇÃO DA ETM A SER CADASTRADA, EXCLUA ELA APÓS INSERIR NO PASSO 4</t>
  </si>
  <si>
    <t>Caso o nome do processo não esteja cadastrado, utilize a planilha "CADASTRO" para cadastrá-lo.</t>
  </si>
  <si>
    <t>ETM 004 POS.055 &lt;= M16</t>
  </si>
  <si>
    <t>ETM 004 POS.055 &gt;M16</t>
  </si>
  <si>
    <t>ETM 004 POS.027 &gt; 5/8"</t>
  </si>
  <si>
    <t>ETM 004 POS.026 &lt;= 1"</t>
  </si>
  <si>
    <t>ETM 004 POS.026 &gt; 1"</t>
  </si>
  <si>
    <t>ETM 004 POS.005</t>
  </si>
  <si>
    <t>ETM 004 POS.011</t>
  </si>
  <si>
    <t>ETM 004 POS.012</t>
  </si>
  <si>
    <t>ETM 004 POS.013</t>
  </si>
  <si>
    <t>ETM 004 POS.018</t>
  </si>
  <si>
    <t>ETM 004 POS.021</t>
  </si>
  <si>
    <t>ETM 004 POS.003</t>
  </si>
  <si>
    <t>ETM 004 POS.030</t>
  </si>
  <si>
    <t>ETM 004 POS.031</t>
  </si>
  <si>
    <t>ETM 004 POS.034</t>
  </si>
  <si>
    <t>ETM 004 POS.052</t>
  </si>
  <si>
    <t>ETM 004 POS.053</t>
  </si>
  <si>
    <t>ETM 004 POS.056</t>
  </si>
  <si>
    <t>ETM 004 POS.057</t>
  </si>
  <si>
    <t>ETM 004 POS.058</t>
  </si>
  <si>
    <t>ETM 004 POS.061</t>
  </si>
  <si>
    <t>ETM 004 POS.062</t>
  </si>
  <si>
    <t>ETM 004 POS.063</t>
  </si>
  <si>
    <t>ETM 004 POS.073</t>
  </si>
  <si>
    <t>ETM 004 POS.008</t>
  </si>
  <si>
    <t>ETM 004 POS.009</t>
  </si>
  <si>
    <t>ETM 004 POS.010</t>
  </si>
  <si>
    <t>ETM 004 POS.014</t>
  </si>
  <si>
    <t>ETM 004 POS.015</t>
  </si>
  <si>
    <t>ETM 004 POS.016</t>
  </si>
  <si>
    <t>ETM 004 POS.017</t>
  </si>
  <si>
    <t>ETM 112 POS.048</t>
  </si>
  <si>
    <r>
      <rPr>
        <b/>
        <sz val="10"/>
        <rFont val="Arial"/>
        <family val="2"/>
      </rPr>
      <t>OBS</t>
    </r>
    <r>
      <rPr>
        <sz val="10"/>
        <rFont val="Arial"/>
        <family val="2"/>
      </rPr>
      <t>.: Caso a posição da ETM utilizada não seja encontrada, cadastra-la na aba "CADASTRO".</t>
    </r>
  </si>
  <si>
    <t>µm</t>
  </si>
  <si>
    <t>MÁQ. DE SALT SPRAY</t>
  </si>
  <si>
    <t>MÁQ. DE DTT</t>
  </si>
  <si>
    <t>MICRON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</si>
</sst>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i/>
      <u/>
      <sz val="18"/>
      <name val="Copperplate Gothic Bold"/>
      <family val="2"/>
    </font>
    <font>
      <sz val="7"/>
      <name val="Arial"/>
      <family val="2"/>
    </font>
    <font>
      <sz val="8"/>
      <color indexed="10"/>
      <name val="Arial"/>
      <family val="2"/>
    </font>
    <font>
      <sz val="20"/>
      <name val="Arial"/>
      <family val="2"/>
    </font>
    <font>
      <sz val="14"/>
      <color indexed="10"/>
      <name val="Arial"/>
      <family val="2"/>
    </font>
    <font>
      <sz val="10"/>
      <color indexed="10"/>
      <name val="Arial"/>
      <family val="2"/>
    </font>
    <font>
      <sz val="16"/>
      <color indexed="10"/>
      <name val="Arial"/>
      <family val="2"/>
    </font>
    <font>
      <sz val="10"/>
      <color indexed="8"/>
      <name val="Arial"/>
      <family val="2"/>
    </font>
    <font>
      <b/>
      <sz val="10"/>
      <color indexed="10"/>
      <name val="Arial"/>
      <family val="2"/>
    </font>
    <font>
      <b/>
      <sz val="11"/>
      <color indexed="10"/>
      <name val="Arial"/>
      <family val="2"/>
    </font>
    <font>
      <b/>
      <sz val="12"/>
      <color indexed="10"/>
      <name val="Arial"/>
      <family val="2"/>
    </font>
    <font>
      <b/>
      <sz val="18"/>
      <name val="Arial"/>
      <family val="2"/>
    </font>
    <font>
      <b/>
      <sz val="10"/>
      <color theme="1"/>
      <name val="Calibri"/>
      <family val="2"/>
      <scheme val="minor"/>
    </font>
    <font>
      <b/>
      <sz val="10"/>
      <color indexed="8"/>
      <name val="Arial"/>
      <family val="2"/>
    </font>
    <font>
      <b/>
      <sz val="8"/>
      <color theme="0"/>
      <name val="Arial"/>
      <family val="2"/>
    </font>
    <font>
      <b/>
      <sz val="10"/>
      <name val="Calibri"/>
      <family val="2"/>
    </font>
    <font>
      <sz val="8"/>
      <color theme="1"/>
      <name val="Calibri"/>
      <family val="2"/>
      <scheme val="minor"/>
    </font>
    <font>
      <b/>
      <sz val="16"/>
      <color indexed="10"/>
      <name val="Arial"/>
      <family val="2"/>
    </font>
    <font>
      <sz val="8"/>
      <color theme="0"/>
      <name val="Arial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i/>
      <u/>
      <sz val="18"/>
      <name val="Arial"/>
      <family val="2"/>
    </font>
    <font>
      <sz val="12"/>
      <color rgb="FFC00000"/>
      <name val="Arial"/>
      <family val="2"/>
    </font>
    <font>
      <b/>
      <sz val="12"/>
      <color rgb="FFC00000"/>
      <name val="Arial"/>
      <family val="2"/>
    </font>
    <font>
      <b/>
      <i/>
      <sz val="12"/>
      <color rgb="FFC00000"/>
      <name val="Arial"/>
      <family val="2"/>
    </font>
    <font>
      <b/>
      <i/>
      <sz val="20"/>
      <name val="Arial"/>
      <family val="2"/>
    </font>
    <font>
      <i/>
      <sz val="8"/>
      <color indexed="8"/>
      <name val="Arial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0"/>
      <name val="Arial"/>
      <family val="2"/>
    </font>
    <font>
      <b/>
      <sz val="20"/>
      <name val="Arial"/>
      <family val="2"/>
    </font>
    <font>
      <sz val="12"/>
      <name val="Arial"/>
      <family val="2"/>
    </font>
    <font>
      <b/>
      <i/>
      <sz val="12"/>
      <color theme="0"/>
      <name val="Arial"/>
      <family val="2"/>
    </font>
    <font>
      <sz val="10"/>
      <color theme="4" tint="0.79998168889431442"/>
      <name val="Arial"/>
      <family val="2"/>
    </font>
    <font>
      <sz val="9"/>
      <color indexed="81"/>
      <name val="Segoe UI"/>
      <family val="2"/>
    </font>
    <font>
      <sz val="8"/>
      <name val="Arial"/>
      <family val="2"/>
    </font>
    <font>
      <b/>
      <sz val="9"/>
      <color indexed="81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-0.249977111117893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8" fillId="0" borderId="0"/>
  </cellStyleXfs>
  <cellXfs count="474">
    <xf numFmtId="0" fontId="0" fillId="0" borderId="0" xfId="0"/>
    <xf numFmtId="0" fontId="10" fillId="0" borderId="1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/>
    </xf>
    <xf numFmtId="0" fontId="0" fillId="0" borderId="0" xfId="0" applyBorder="1" applyAlignment="1">
      <alignment horizontal="center"/>
    </xf>
    <xf numFmtId="49" fontId="0" fillId="0" borderId="13" xfId="0" applyNumberFormat="1" applyBorder="1" applyAlignment="1">
      <alignment horizontal="left" vertical="center"/>
    </xf>
    <xf numFmtId="0" fontId="13" fillId="0" borderId="14" xfId="0" applyFont="1" applyBorder="1" applyAlignment="1">
      <alignment horizontal="left" vertical="center" wrapText="1"/>
    </xf>
    <xf numFmtId="0" fontId="19" fillId="0" borderId="18" xfId="0" applyFont="1" applyBorder="1" applyAlignment="1">
      <alignment vertical="top"/>
    </xf>
    <xf numFmtId="0" fontId="19" fillId="0" borderId="6" xfId="0" applyFont="1" applyBorder="1" applyAlignment="1">
      <alignment vertical="top"/>
    </xf>
    <xf numFmtId="0" fontId="19" fillId="0" borderId="19" xfId="0" applyFont="1" applyBorder="1" applyAlignment="1">
      <alignment vertical="top"/>
    </xf>
    <xf numFmtId="0" fontId="0" fillId="0" borderId="22" xfId="0" applyBorder="1"/>
    <xf numFmtId="0" fontId="13" fillId="0" borderId="22" xfId="0" applyFont="1" applyBorder="1"/>
    <xf numFmtId="0" fontId="0" fillId="0" borderId="23" xfId="0" applyBorder="1"/>
    <xf numFmtId="0" fontId="23" fillId="0" borderId="17" xfId="0" applyFont="1" applyBorder="1" applyAlignment="1">
      <alignment horizontal="center" vertical="top"/>
    </xf>
    <xf numFmtId="0" fontId="11" fillId="0" borderId="0" xfId="0" applyFont="1" applyBorder="1" applyAlignment="1">
      <alignment horizontal="center"/>
    </xf>
    <xf numFmtId="49" fontId="11" fillId="0" borderId="24" xfId="0" applyNumberFormat="1" applyFont="1" applyBorder="1" applyAlignment="1">
      <alignment horizontal="center"/>
    </xf>
    <xf numFmtId="49" fontId="11" fillId="0" borderId="0" xfId="0" applyNumberFormat="1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6" xfId="0" applyFont="1" applyBorder="1" applyAlignment="1">
      <alignment horizontal="center"/>
    </xf>
    <xf numFmtId="49" fontId="11" fillId="0" borderId="18" xfId="0" applyNumberFormat="1" applyFont="1" applyBorder="1" applyAlignment="1">
      <alignment horizontal="center"/>
    </xf>
    <xf numFmtId="49" fontId="11" fillId="0" borderId="6" xfId="0" applyNumberFormat="1" applyFont="1" applyBorder="1" applyAlignment="1">
      <alignment horizontal="center"/>
    </xf>
    <xf numFmtId="0" fontId="11" fillId="0" borderId="19" xfId="0" applyFont="1" applyBorder="1" applyAlignment="1">
      <alignment horizontal="center"/>
    </xf>
    <xf numFmtId="0" fontId="13" fillId="0" borderId="26" xfId="0" applyFont="1" applyBorder="1"/>
    <xf numFmtId="0" fontId="0" fillId="0" borderId="26" xfId="0" applyBorder="1"/>
    <xf numFmtId="0" fontId="0" fillId="0" borderId="27" xfId="0" applyBorder="1"/>
    <xf numFmtId="0" fontId="0" fillId="0" borderId="0" xfId="0" applyProtection="1"/>
    <xf numFmtId="0" fontId="10" fillId="0" borderId="3" xfId="0" applyFont="1" applyBorder="1" applyAlignment="1" applyProtection="1">
      <alignment horizontal="center" vertical="center"/>
    </xf>
    <xf numFmtId="0" fontId="0" fillId="0" borderId="15" xfId="0" applyBorder="1" applyAlignment="1" applyProtection="1">
      <alignment horizontal="center"/>
    </xf>
    <xf numFmtId="0" fontId="10" fillId="0" borderId="4" xfId="0" applyFont="1" applyBorder="1" applyAlignment="1" applyProtection="1">
      <alignment horizontal="center" vertical="center"/>
    </xf>
    <xf numFmtId="0" fontId="10" fillId="0" borderId="1" xfId="0" applyFont="1" applyBorder="1" applyAlignment="1" applyProtection="1">
      <alignment horizontal="center" vertical="center" wrapText="1"/>
    </xf>
    <xf numFmtId="0" fontId="8" fillId="0" borderId="0" xfId="1" applyAlignment="1">
      <alignment horizontal="left" vertical="center"/>
    </xf>
    <xf numFmtId="0" fontId="26" fillId="3" borderId="0" xfId="1" applyFont="1" applyFill="1" applyAlignment="1">
      <alignment horizontal="center" vertical="center"/>
    </xf>
    <xf numFmtId="0" fontId="26" fillId="3" borderId="0" xfId="1" applyFont="1" applyFill="1" applyAlignment="1">
      <alignment horizontal="left" vertical="center"/>
    </xf>
    <xf numFmtId="0" fontId="26" fillId="3" borderId="0" xfId="1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49" fontId="8" fillId="0" borderId="0" xfId="1" applyNumberForma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24" fillId="0" borderId="17" xfId="0" applyFont="1" applyBorder="1" applyAlignment="1">
      <alignment horizontal="center" vertical="top"/>
    </xf>
    <xf numFmtId="14" fontId="13" fillId="0" borderId="9" xfId="0" applyNumberFormat="1" applyFont="1" applyBorder="1" applyAlignment="1" applyProtection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33" fillId="6" borderId="0" xfId="0" applyFont="1" applyFill="1" applyBorder="1"/>
    <xf numFmtId="0" fontId="33" fillId="0" borderId="0" xfId="0" applyFont="1" applyBorder="1"/>
    <xf numFmtId="0" fontId="0" fillId="0" borderId="0" xfId="0" applyBorder="1" applyProtection="1"/>
    <xf numFmtId="0" fontId="13" fillId="5" borderId="0" xfId="0" applyFont="1" applyFill="1"/>
    <xf numFmtId="0" fontId="0" fillId="5" borderId="0" xfId="0" applyFill="1"/>
    <xf numFmtId="0" fontId="9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left" vertical="center"/>
    </xf>
    <xf numFmtId="0" fontId="9" fillId="0" borderId="22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9" fillId="0" borderId="20" xfId="0" applyFont="1" applyBorder="1" applyAlignment="1">
      <alignment horizontal="left" vertical="center"/>
    </xf>
    <xf numFmtId="0" fontId="9" fillId="0" borderId="21" xfId="0" applyFont="1" applyBorder="1" applyAlignment="1">
      <alignment horizontal="left" vertical="center"/>
    </xf>
    <xf numFmtId="0" fontId="19" fillId="0" borderId="51" xfId="0" applyFont="1" applyBorder="1" applyAlignment="1">
      <alignment vertical="top"/>
    </xf>
    <xf numFmtId="0" fontId="19" fillId="0" borderId="26" xfId="0" applyFont="1" applyBorder="1" applyAlignment="1">
      <alignment vertical="top"/>
    </xf>
    <xf numFmtId="0" fontId="19" fillId="0" borderId="27" xfId="0" applyFont="1" applyBorder="1" applyAlignment="1">
      <alignment vertical="top"/>
    </xf>
    <xf numFmtId="0" fontId="29" fillId="0" borderId="25" xfId="0" applyFont="1" applyBorder="1" applyAlignment="1" applyProtection="1">
      <alignment horizontal="center" vertical="center"/>
      <protection locked="0"/>
    </xf>
    <xf numFmtId="14" fontId="13" fillId="0" borderId="9" xfId="0" applyNumberFormat="1" applyFont="1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1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vertical="center"/>
      <protection locked="0"/>
    </xf>
    <xf numFmtId="0" fontId="0" fillId="0" borderId="7" xfId="0" applyBorder="1" applyAlignment="1" applyProtection="1">
      <alignment vertical="center"/>
      <protection locked="0"/>
    </xf>
    <xf numFmtId="0" fontId="29" fillId="0" borderId="9" xfId="0" applyFont="1" applyBorder="1" applyAlignment="1" applyProtection="1">
      <alignment horizontal="center" vertical="center"/>
      <protection locked="0"/>
    </xf>
    <xf numFmtId="0" fontId="13" fillId="7" borderId="0" xfId="0" applyFont="1" applyFill="1" applyBorder="1"/>
    <xf numFmtId="0" fontId="13" fillId="7" borderId="0" xfId="0" applyFont="1" applyFill="1"/>
    <xf numFmtId="0" fontId="35" fillId="7" borderId="0" xfId="0" applyFont="1" applyFill="1"/>
    <xf numFmtId="0" fontId="8" fillId="5" borderId="0" xfId="1" applyFill="1" applyAlignment="1">
      <alignment horizontal="left" vertical="center"/>
    </xf>
    <xf numFmtId="0" fontId="11" fillId="5" borderId="0" xfId="0" applyFont="1" applyFill="1"/>
    <xf numFmtId="0" fontId="11" fillId="5" borderId="24" xfId="0" applyFont="1" applyFill="1" applyBorder="1"/>
    <xf numFmtId="0" fontId="0" fillId="5" borderId="0" xfId="0" applyFill="1" applyBorder="1"/>
    <xf numFmtId="0" fontId="0" fillId="5" borderId="25" xfId="0" applyFill="1" applyBorder="1"/>
    <xf numFmtId="0" fontId="38" fillId="5" borderId="24" xfId="0" applyFont="1" applyFill="1" applyBorder="1" applyAlignment="1">
      <alignment horizontal="center"/>
    </xf>
    <xf numFmtId="0" fontId="37" fillId="5" borderId="0" xfId="0" applyFont="1" applyFill="1" applyBorder="1"/>
    <xf numFmtId="0" fontId="11" fillId="5" borderId="24" xfId="0" applyFont="1" applyFill="1" applyBorder="1" applyAlignment="1">
      <alignment horizontal="center"/>
    </xf>
    <xf numFmtId="0" fontId="13" fillId="5" borderId="0" xfId="0" applyFont="1" applyFill="1" applyBorder="1"/>
    <xf numFmtId="0" fontId="11" fillId="5" borderId="24" xfId="0" applyFont="1" applyFill="1" applyBorder="1" applyAlignment="1">
      <alignment horizontal="right"/>
    </xf>
    <xf numFmtId="0" fontId="11" fillId="5" borderId="18" xfId="0" applyFont="1" applyFill="1" applyBorder="1"/>
    <xf numFmtId="0" fontId="0" fillId="5" borderId="19" xfId="0" applyFill="1" applyBorder="1"/>
    <xf numFmtId="0" fontId="0" fillId="5" borderId="6" xfId="0" applyFill="1" applyBorder="1"/>
    <xf numFmtId="0" fontId="11" fillId="0" borderId="1" xfId="0" applyFont="1" applyBorder="1" applyAlignment="1">
      <alignment horizontal="center" vertical="center" wrapText="1"/>
    </xf>
    <xf numFmtId="0" fontId="11" fillId="0" borderId="1" xfId="0" applyFont="1" applyBorder="1" applyAlignment="1" applyProtection="1">
      <alignment horizontal="center" vertical="center" wrapText="1"/>
    </xf>
    <xf numFmtId="0" fontId="7" fillId="0" borderId="0" xfId="1" applyFont="1" applyAlignment="1">
      <alignment horizontal="left" vertical="center"/>
    </xf>
    <xf numFmtId="0" fontId="23" fillId="0" borderId="17" xfId="0" applyFont="1" applyBorder="1" applyAlignment="1" applyProtection="1">
      <alignment horizontal="center" vertical="top"/>
      <protection locked="0"/>
    </xf>
    <xf numFmtId="0" fontId="19" fillId="0" borderId="18" xfId="0" applyFont="1" applyBorder="1" applyAlignment="1" applyProtection="1">
      <alignment vertical="top"/>
      <protection locked="0"/>
    </xf>
    <xf numFmtId="0" fontId="19" fillId="0" borderId="6" xfId="0" applyFont="1" applyBorder="1" applyAlignment="1" applyProtection="1">
      <alignment vertical="top"/>
      <protection locked="0"/>
    </xf>
    <xf numFmtId="0" fontId="19" fillId="0" borderId="19" xfId="0" applyFont="1" applyBorder="1" applyAlignment="1" applyProtection="1">
      <alignment vertical="top"/>
      <protection locked="0"/>
    </xf>
    <xf numFmtId="0" fontId="24" fillId="0" borderId="17" xfId="0" applyFont="1" applyBorder="1" applyAlignment="1" applyProtection="1">
      <alignment horizontal="center" vertical="top"/>
      <protection locked="0"/>
    </xf>
    <xf numFmtId="0" fontId="0" fillId="0" borderId="0" xfId="0" applyProtection="1">
      <protection locked="0"/>
    </xf>
    <xf numFmtId="0" fontId="11" fillId="0" borderId="0" xfId="0" applyFont="1" applyBorder="1" applyAlignment="1" applyProtection="1">
      <alignment horizont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38" fillId="5" borderId="0" xfId="0" applyFont="1" applyFill="1" applyBorder="1"/>
    <xf numFmtId="0" fontId="6" fillId="0" borderId="0" xfId="1" applyFont="1" applyAlignment="1">
      <alignment horizontal="left" vertical="center"/>
    </xf>
    <xf numFmtId="9" fontId="8" fillId="0" borderId="0" xfId="1" applyNumberFormat="1" applyAlignment="1">
      <alignment horizontal="left" vertical="center"/>
    </xf>
    <xf numFmtId="0" fontId="8" fillId="0" borderId="0" xfId="1" applyFill="1" applyAlignment="1">
      <alignment horizontal="left" vertical="center"/>
    </xf>
    <xf numFmtId="0" fontId="42" fillId="0" borderId="0" xfId="0" applyFont="1" applyAlignment="1">
      <alignment horizontal="left" vertical="center"/>
    </xf>
    <xf numFmtId="49" fontId="42" fillId="0" borderId="0" xfId="0" applyNumberFormat="1" applyFont="1" applyAlignment="1">
      <alignment horizontal="left" vertical="center"/>
    </xf>
    <xf numFmtId="0" fontId="43" fillId="0" borderId="0" xfId="0" applyFont="1" applyAlignment="1">
      <alignment horizontal="left" vertical="center"/>
    </xf>
    <xf numFmtId="49" fontId="43" fillId="0" borderId="0" xfId="0" applyNumberFormat="1" applyFont="1" applyAlignment="1">
      <alignment horizontal="left" vertical="center"/>
    </xf>
    <xf numFmtId="0" fontId="43" fillId="0" borderId="0" xfId="0" applyFont="1" applyFill="1" applyAlignment="1">
      <alignment horizontal="left" vertical="center"/>
    </xf>
    <xf numFmtId="0" fontId="42" fillId="0" borderId="0" xfId="0" applyFont="1" applyFill="1" applyAlignment="1">
      <alignment horizontal="left" vertical="center"/>
    </xf>
    <xf numFmtId="0" fontId="42" fillId="0" borderId="0" xfId="0" applyFont="1" applyFill="1" applyAlignment="1">
      <alignment horizontal="left" vertical="center" wrapText="1"/>
    </xf>
    <xf numFmtId="49" fontId="42" fillId="0" borderId="0" xfId="0" applyNumberFormat="1" applyFont="1" applyFill="1" applyAlignment="1">
      <alignment horizontal="left" vertical="center"/>
    </xf>
    <xf numFmtId="49" fontId="8" fillId="0" borderId="0" xfId="1" applyNumberFormat="1" applyFill="1" applyAlignment="1">
      <alignment horizontal="left" vertical="center"/>
    </xf>
    <xf numFmtId="0" fontId="11" fillId="0" borderId="1" xfId="0" applyFont="1" applyBorder="1" applyAlignment="1" applyProtection="1">
      <alignment horizontal="center" vertical="center" wrapText="1"/>
    </xf>
    <xf numFmtId="49" fontId="43" fillId="0" borderId="0" xfId="0" applyNumberFormat="1" applyFont="1" applyFill="1" applyAlignment="1">
      <alignment horizontal="left" vertical="center"/>
    </xf>
    <xf numFmtId="0" fontId="8" fillId="8" borderId="0" xfId="1" applyFill="1" applyAlignment="1">
      <alignment horizontal="left" vertical="center"/>
    </xf>
    <xf numFmtId="0" fontId="5" fillId="5" borderId="0" xfId="1" applyFont="1" applyFill="1" applyAlignment="1">
      <alignment horizontal="left" vertical="center"/>
    </xf>
    <xf numFmtId="0" fontId="45" fillId="8" borderId="0" xfId="1" applyFont="1" applyFill="1" applyAlignment="1">
      <alignment horizontal="left" vertical="center"/>
    </xf>
    <xf numFmtId="0" fontId="8" fillId="5" borderId="0" xfId="1" applyFill="1" applyAlignment="1">
      <alignment horizontal="center" vertical="center"/>
    </xf>
    <xf numFmtId="0" fontId="46" fillId="5" borderId="0" xfId="1" applyFont="1" applyFill="1" applyAlignment="1">
      <alignment horizontal="left" vertical="center"/>
    </xf>
    <xf numFmtId="0" fontId="26" fillId="9" borderId="55" xfId="1" applyFont="1" applyFill="1" applyBorder="1" applyAlignment="1">
      <alignment horizontal="center" vertical="center"/>
    </xf>
    <xf numFmtId="0" fontId="8" fillId="9" borderId="55" xfId="1" applyFill="1" applyBorder="1" applyAlignment="1">
      <alignment horizontal="left" vertical="center"/>
    </xf>
    <xf numFmtId="0" fontId="46" fillId="10" borderId="0" xfId="1" applyFont="1" applyFill="1" applyAlignment="1">
      <alignment horizontal="left" vertical="center"/>
    </xf>
    <xf numFmtId="0" fontId="8" fillId="10" borderId="0" xfId="1" applyFill="1" applyAlignment="1">
      <alignment horizontal="left" vertical="center"/>
    </xf>
    <xf numFmtId="0" fontId="48" fillId="5" borderId="0" xfId="1" applyFont="1" applyFill="1" applyAlignment="1">
      <alignment horizontal="left" vertical="center"/>
    </xf>
    <xf numFmtId="0" fontId="51" fillId="7" borderId="0" xfId="0" applyFont="1" applyFill="1"/>
    <xf numFmtId="0" fontId="0" fillId="10" borderId="0" xfId="0" applyFill="1"/>
    <xf numFmtId="0" fontId="52" fillId="10" borderId="0" xfId="0" applyFont="1" applyFill="1"/>
    <xf numFmtId="0" fontId="13" fillId="10" borderId="0" xfId="0" applyFont="1" applyFill="1"/>
    <xf numFmtId="0" fontId="55" fillId="10" borderId="0" xfId="0" applyFont="1" applyFill="1"/>
    <xf numFmtId="0" fontId="11" fillId="0" borderId="1" xfId="0" applyFont="1" applyBorder="1" applyAlignment="1">
      <alignment horizontal="center" vertical="center" wrapText="1"/>
    </xf>
    <xf numFmtId="0" fontId="33" fillId="6" borderId="0" xfId="0" applyFont="1" applyFill="1"/>
    <xf numFmtId="0" fontId="10" fillId="0" borderId="3" xfId="0" applyFont="1" applyBorder="1" applyAlignment="1">
      <alignment horizontal="center" vertical="center"/>
    </xf>
    <xf numFmtId="0" fontId="33" fillId="0" borderId="0" xfId="0" applyFont="1"/>
    <xf numFmtId="0" fontId="8" fillId="9" borderId="0" xfId="1" applyFill="1" applyBorder="1" applyAlignment="1">
      <alignment horizontal="left" vertical="center"/>
    </xf>
    <xf numFmtId="0" fontId="26" fillId="9" borderId="0" xfId="1" applyFont="1" applyFill="1" applyBorder="1" applyAlignment="1">
      <alignment horizontal="center" vertical="center"/>
    </xf>
    <xf numFmtId="0" fontId="8" fillId="0" borderId="0" xfId="1" applyBorder="1" applyAlignment="1">
      <alignment horizontal="left" vertical="center"/>
    </xf>
    <xf numFmtId="0" fontId="4" fillId="0" borderId="0" xfId="1" applyFont="1" applyBorder="1" applyAlignment="1">
      <alignment horizontal="left" vertical="center"/>
    </xf>
    <xf numFmtId="0" fontId="26" fillId="9" borderId="0" xfId="1" applyFont="1" applyFill="1" applyAlignment="1">
      <alignment horizontal="center" vertical="center"/>
    </xf>
    <xf numFmtId="0" fontId="8" fillId="9" borderId="0" xfId="1" applyFill="1" applyAlignment="1">
      <alignment horizontal="left" vertical="center"/>
    </xf>
    <xf numFmtId="0" fontId="3" fillId="0" borderId="0" xfId="1" applyFont="1" applyAlignment="1">
      <alignment horizontal="left" vertical="center"/>
    </xf>
    <xf numFmtId="0" fontId="2" fillId="0" borderId="0" xfId="1" applyFont="1" applyAlignment="1">
      <alignment horizontal="left" vertical="center"/>
    </xf>
    <xf numFmtId="49" fontId="1" fillId="0" borderId="0" xfId="1" applyNumberFormat="1" applyFont="1" applyAlignment="1">
      <alignment horizontal="left" vertical="center"/>
    </xf>
    <xf numFmtId="0" fontId="9" fillId="0" borderId="47" xfId="0" applyFont="1" applyBorder="1" applyAlignment="1" applyProtection="1">
      <alignment horizontal="center" vertical="center" wrapText="1"/>
      <protection locked="0"/>
    </xf>
    <xf numFmtId="0" fontId="9" fillId="0" borderId="11" xfId="0" applyFont="1" applyBorder="1" applyAlignment="1" applyProtection="1">
      <alignment horizontal="center" vertical="center" wrapText="1"/>
      <protection locked="0"/>
    </xf>
    <xf numFmtId="0" fontId="9" fillId="0" borderId="33" xfId="0" applyFont="1" applyBorder="1" applyAlignment="1" applyProtection="1">
      <alignment horizontal="center" vertical="center" wrapText="1"/>
      <protection locked="0"/>
    </xf>
    <xf numFmtId="0" fontId="9" fillId="0" borderId="34" xfId="0" applyFont="1" applyBorder="1" applyAlignment="1" applyProtection="1">
      <alignment horizontal="center" vertical="center" wrapText="1"/>
      <protection locked="0"/>
    </xf>
    <xf numFmtId="0" fontId="9" fillId="0" borderId="30" xfId="0" applyFont="1" applyBorder="1" applyAlignment="1" applyProtection="1">
      <alignment horizontal="center" vertical="center" wrapText="1"/>
      <protection locked="0"/>
    </xf>
    <xf numFmtId="0" fontId="9" fillId="0" borderId="29" xfId="0" applyFont="1" applyBorder="1" applyAlignment="1" applyProtection="1">
      <alignment horizontal="center" vertical="center" wrapText="1"/>
      <protection locked="0"/>
    </xf>
    <xf numFmtId="0" fontId="9" fillId="0" borderId="33" xfId="0" applyFont="1" applyBorder="1" applyAlignment="1" applyProtection="1">
      <alignment horizontal="center" vertical="center"/>
      <protection locked="0"/>
    </xf>
    <xf numFmtId="0" fontId="9" fillId="0" borderId="34" xfId="0" applyFont="1" applyBorder="1" applyAlignment="1" applyProtection="1">
      <alignment horizontal="center" vertical="center"/>
      <protection locked="0"/>
    </xf>
    <xf numFmtId="0" fontId="9" fillId="0" borderId="30" xfId="0" applyFont="1" applyBorder="1" applyAlignment="1" applyProtection="1">
      <alignment horizontal="center" vertical="center"/>
      <protection locked="0"/>
    </xf>
    <xf numFmtId="0" fontId="9" fillId="0" borderId="29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15" xfId="0" applyFont="1" applyBorder="1" applyAlignment="1" applyProtection="1">
      <alignment horizontal="center" vertical="center" wrapText="1"/>
      <protection locked="0"/>
    </xf>
    <xf numFmtId="0" fontId="25" fillId="0" borderId="1" xfId="0" applyFont="1" applyBorder="1" applyAlignment="1" applyProtection="1">
      <alignment horizontal="center" vertical="center"/>
      <protection locked="0"/>
    </xf>
    <xf numFmtId="0" fontId="25" fillId="0" borderId="15" xfId="0" applyFont="1" applyBorder="1" applyAlignment="1" applyProtection="1">
      <alignment horizontal="center" vertical="center"/>
      <protection locked="0"/>
    </xf>
    <xf numFmtId="0" fontId="9" fillId="0" borderId="11" xfId="0" applyFont="1" applyBorder="1" applyAlignment="1" applyProtection="1">
      <alignment horizontal="center" vertical="center" wrapText="1"/>
    </xf>
    <xf numFmtId="0" fontId="9" fillId="0" borderId="12" xfId="0" applyFont="1" applyBorder="1" applyAlignment="1" applyProtection="1">
      <alignment horizontal="center" vertical="center" wrapText="1"/>
      <protection locked="0"/>
    </xf>
    <xf numFmtId="0" fontId="9" fillId="0" borderId="4" xfId="0" applyFont="1" applyBorder="1" applyAlignment="1" applyProtection="1">
      <alignment horizontal="center" vertical="center" wrapText="1"/>
      <protection locked="0"/>
    </xf>
    <xf numFmtId="0" fontId="9" fillId="0" borderId="9" xfId="0" applyFont="1" applyBorder="1" applyAlignment="1" applyProtection="1">
      <alignment horizontal="center" vertical="center" wrapText="1"/>
      <protection locked="0"/>
    </xf>
    <xf numFmtId="0" fontId="21" fillId="0" borderId="40" xfId="0" applyFont="1" applyBorder="1" applyAlignment="1" applyProtection="1">
      <alignment horizontal="left" vertical="center"/>
      <protection locked="0"/>
    </xf>
    <xf numFmtId="0" fontId="21" fillId="0" borderId="22" xfId="0" applyFont="1" applyBorder="1" applyAlignment="1" applyProtection="1">
      <alignment horizontal="left" vertical="center"/>
      <protection locked="0"/>
    </xf>
    <xf numFmtId="0" fontId="21" fillId="0" borderId="23" xfId="0" applyFont="1" applyBorder="1" applyAlignment="1" applyProtection="1">
      <alignment horizontal="left" vertical="center"/>
      <protection locked="0"/>
    </xf>
    <xf numFmtId="0" fontId="20" fillId="0" borderId="35" xfId="0" applyFont="1" applyBorder="1" applyAlignment="1" applyProtection="1">
      <alignment horizontal="left" vertical="top"/>
      <protection locked="0"/>
    </xf>
    <xf numFmtId="0" fontId="20" fillId="0" borderId="2" xfId="0" applyFont="1" applyBorder="1" applyAlignment="1" applyProtection="1">
      <alignment horizontal="left" vertical="top"/>
      <protection locked="0"/>
    </xf>
    <xf numFmtId="0" fontId="20" fillId="0" borderId="36" xfId="0" applyFont="1" applyBorder="1" applyAlignment="1" applyProtection="1">
      <alignment horizontal="left" vertical="top"/>
      <protection locked="0"/>
    </xf>
    <xf numFmtId="0" fontId="20" fillId="0" borderId="16" xfId="0" applyFont="1" applyBorder="1" applyAlignment="1" applyProtection="1">
      <alignment horizontal="left" vertical="top"/>
      <protection locked="0"/>
    </xf>
    <xf numFmtId="0" fontId="20" fillId="0" borderId="13" xfId="0" applyFont="1" applyBorder="1" applyAlignment="1" applyProtection="1">
      <alignment horizontal="left" vertical="top"/>
      <protection locked="0"/>
    </xf>
    <xf numFmtId="0" fontId="20" fillId="0" borderId="14" xfId="0" applyFont="1" applyBorder="1" applyAlignment="1" applyProtection="1">
      <alignment horizontal="left" vertical="top"/>
      <protection locked="0"/>
    </xf>
    <xf numFmtId="0" fontId="9" fillId="0" borderId="48" xfId="0" applyFont="1" applyBorder="1" applyAlignment="1" applyProtection="1">
      <alignment horizontal="center" vertical="center" wrapText="1"/>
      <protection locked="0"/>
    </xf>
    <xf numFmtId="0" fontId="9" fillId="0" borderId="47" xfId="0" applyFont="1" applyBorder="1" applyAlignment="1" applyProtection="1">
      <alignment horizontal="center" vertical="center"/>
      <protection locked="0"/>
    </xf>
    <xf numFmtId="0" fontId="9" fillId="0" borderId="11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9" fillId="0" borderId="15" xfId="0" applyFont="1" applyBorder="1" applyAlignment="1" applyProtection="1">
      <alignment horizontal="center" vertical="center"/>
      <protection locked="0"/>
    </xf>
    <xf numFmtId="0" fontId="9" fillId="0" borderId="33" xfId="0" applyFont="1" applyBorder="1" applyAlignment="1" applyProtection="1">
      <alignment horizontal="center" vertical="justify" wrapText="1"/>
      <protection locked="0"/>
    </xf>
    <xf numFmtId="0" fontId="9" fillId="0" borderId="34" xfId="0" applyFont="1" applyBorder="1" applyAlignment="1" applyProtection="1">
      <alignment horizontal="center" vertical="justify" wrapText="1"/>
      <protection locked="0"/>
    </xf>
    <xf numFmtId="0" fontId="9" fillId="0" borderId="30" xfId="0" applyFont="1" applyBorder="1" applyAlignment="1" applyProtection="1">
      <alignment horizontal="center" vertical="justify" wrapText="1"/>
      <protection locked="0"/>
    </xf>
    <xf numFmtId="0" fontId="9" fillId="0" borderId="29" xfId="0" applyFont="1" applyBorder="1" applyAlignment="1" applyProtection="1">
      <alignment horizontal="center" vertical="justify" wrapText="1"/>
      <protection locked="0"/>
    </xf>
    <xf numFmtId="0" fontId="11" fillId="0" borderId="3" xfId="0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0" fillId="0" borderId="33" xfId="0" applyBorder="1" applyAlignment="1" applyProtection="1">
      <alignment horizontal="center" vertical="center"/>
      <protection locked="0"/>
    </xf>
    <xf numFmtId="0" fontId="0" fillId="0" borderId="34" xfId="0" applyBorder="1" applyAlignment="1" applyProtection="1">
      <alignment horizontal="center" vertical="center"/>
      <protection locked="0"/>
    </xf>
    <xf numFmtId="0" fontId="0" fillId="0" borderId="30" xfId="0" applyBorder="1" applyAlignment="1" applyProtection="1">
      <alignment horizontal="center" vertical="center"/>
      <protection locked="0"/>
    </xf>
    <xf numFmtId="0" fontId="0" fillId="0" borderId="29" xfId="0" applyBorder="1" applyAlignment="1" applyProtection="1">
      <alignment horizontal="center" vertical="center"/>
      <protection locked="0"/>
    </xf>
    <xf numFmtId="0" fontId="15" fillId="0" borderId="1" xfId="0" applyFont="1" applyBorder="1" applyAlignment="1" applyProtection="1">
      <alignment horizontal="center" vertical="center" wrapText="1"/>
      <protection locked="0"/>
    </xf>
    <xf numFmtId="0" fontId="15" fillId="0" borderId="15" xfId="0" applyFont="1" applyBorder="1" applyAlignment="1" applyProtection="1">
      <alignment horizontal="center" vertical="center" wrapText="1"/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34" xfId="0" applyBorder="1" applyAlignment="1" applyProtection="1">
      <alignment horizontal="center"/>
      <protection locked="0"/>
    </xf>
    <xf numFmtId="0" fontId="0" fillId="0" borderId="30" xfId="0" applyBorder="1" applyAlignment="1" applyProtection="1">
      <alignment horizontal="center"/>
      <protection locked="0"/>
    </xf>
    <xf numFmtId="0" fontId="0" fillId="0" borderId="29" xfId="0" applyBorder="1" applyAlignment="1" applyProtection="1">
      <alignment horizontal="center"/>
      <protection locked="0"/>
    </xf>
    <xf numFmtId="0" fontId="10" fillId="0" borderId="33" xfId="0" applyFont="1" applyBorder="1" applyAlignment="1">
      <alignment horizontal="center" vertical="center"/>
    </xf>
    <xf numFmtId="0" fontId="10" fillId="0" borderId="34" xfId="0" applyFont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10" fillId="0" borderId="39" xfId="0" applyFont="1" applyBorder="1" applyAlignment="1" applyProtection="1">
      <alignment horizontal="left" vertical="center"/>
    </xf>
    <xf numFmtId="0" fontId="10" fillId="0" borderId="20" xfId="0" applyFont="1" applyBorder="1" applyAlignment="1" applyProtection="1">
      <alignment horizontal="left" vertical="center"/>
    </xf>
    <xf numFmtId="0" fontId="10" fillId="0" borderId="34" xfId="0" applyFont="1" applyBorder="1" applyAlignment="1" applyProtection="1">
      <alignment horizontal="left" vertical="center"/>
    </xf>
    <xf numFmtId="0" fontId="41" fillId="0" borderId="16" xfId="0" applyFont="1" applyBorder="1" applyAlignment="1" applyProtection="1">
      <alignment horizontal="center"/>
      <protection locked="0"/>
    </xf>
    <xf numFmtId="0" fontId="41" fillId="0" borderId="13" xfId="0" applyFont="1" applyBorder="1" applyAlignment="1" applyProtection="1">
      <alignment horizontal="center"/>
      <protection locked="0"/>
    </xf>
    <xf numFmtId="0" fontId="41" fillId="0" borderId="29" xfId="0" applyFont="1" applyBorder="1" applyAlignment="1" applyProtection="1">
      <alignment horizontal="center"/>
      <protection locked="0"/>
    </xf>
    <xf numFmtId="0" fontId="9" fillId="0" borderId="33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9" fillId="0" borderId="34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 wrapText="1"/>
    </xf>
    <xf numFmtId="0" fontId="10" fillId="0" borderId="44" xfId="0" applyFont="1" applyBorder="1" applyAlignment="1">
      <alignment horizontal="center" vertical="center" wrapText="1"/>
    </xf>
    <xf numFmtId="0" fontId="10" fillId="0" borderId="18" xfId="0" applyFont="1" applyBorder="1" applyAlignment="1" applyProtection="1">
      <alignment horizontal="center" vertical="center"/>
      <protection locked="0"/>
    </xf>
    <xf numFmtId="0" fontId="10" fillId="0" borderId="32" xfId="0" applyFont="1" applyBorder="1" applyAlignment="1" applyProtection="1">
      <alignment horizontal="center" vertical="center"/>
      <protection locked="0"/>
    </xf>
    <xf numFmtId="0" fontId="10" fillId="0" borderId="31" xfId="0" applyFont="1" applyBorder="1" applyAlignment="1" applyProtection="1">
      <alignment horizontal="center" vertic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32" xfId="0" applyBorder="1" applyAlignment="1" applyProtection="1">
      <alignment horizontal="center" vertical="center"/>
      <protection locked="0"/>
    </xf>
    <xf numFmtId="0" fontId="10" fillId="0" borderId="39" xfId="0" applyFont="1" applyBorder="1" applyAlignment="1">
      <alignment horizontal="center" vertical="center"/>
    </xf>
    <xf numFmtId="0" fontId="9" fillId="0" borderId="31" xfId="0" applyFont="1" applyBorder="1" applyAlignment="1" applyProtection="1">
      <alignment horizontal="center" vertical="center"/>
      <protection locked="0"/>
    </xf>
    <xf numFmtId="0" fontId="9" fillId="0" borderId="6" xfId="0" applyFont="1" applyBorder="1" applyAlignment="1" applyProtection="1">
      <alignment horizontal="center" vertical="center"/>
      <protection locked="0"/>
    </xf>
    <xf numFmtId="0" fontId="9" fillId="0" borderId="32" xfId="0" applyFont="1" applyBorder="1" applyAlignment="1" applyProtection="1">
      <alignment horizontal="center" vertical="center"/>
      <protection locked="0"/>
    </xf>
    <xf numFmtId="0" fontId="14" fillId="0" borderId="35" xfId="0" applyFont="1" applyBorder="1" applyAlignment="1" applyProtection="1">
      <alignment horizontal="center" vertical="center"/>
    </xf>
    <xf numFmtId="0" fontId="14" fillId="0" borderId="2" xfId="0" applyFont="1" applyBorder="1" applyAlignment="1" applyProtection="1">
      <alignment horizontal="center" vertical="center"/>
    </xf>
    <xf numFmtId="0" fontId="14" fillId="0" borderId="36" xfId="0" applyFont="1" applyBorder="1" applyAlignment="1" applyProtection="1">
      <alignment horizontal="center" vertical="center"/>
    </xf>
    <xf numFmtId="0" fontId="14" fillId="0" borderId="24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0" fontId="14" fillId="0" borderId="25" xfId="0" applyFont="1" applyBorder="1" applyAlignment="1" applyProtection="1">
      <alignment horizontal="center" vertical="center"/>
    </xf>
    <xf numFmtId="0" fontId="10" fillId="0" borderId="35" xfId="0" applyFont="1" applyBorder="1" applyAlignment="1" applyProtection="1">
      <alignment horizontal="center"/>
    </xf>
    <xf numFmtId="0" fontId="10" fillId="0" borderId="37" xfId="0" applyFont="1" applyBorder="1" applyAlignment="1" applyProtection="1">
      <alignment horizontal="center"/>
    </xf>
    <xf numFmtId="0" fontId="10" fillId="0" borderId="2" xfId="0" applyFont="1" applyBorder="1" applyAlignment="1" applyProtection="1">
      <alignment horizontal="center" vertical="center"/>
    </xf>
    <xf numFmtId="0" fontId="10" fillId="0" borderId="38" xfId="0" applyFont="1" applyBorder="1" applyAlignment="1" applyProtection="1">
      <alignment horizontal="center" vertical="center"/>
    </xf>
    <xf numFmtId="0" fontId="10" fillId="0" borderId="37" xfId="0" applyFont="1" applyBorder="1" applyAlignment="1" applyProtection="1">
      <alignment horizontal="center" vertical="center"/>
    </xf>
    <xf numFmtId="0" fontId="10" fillId="0" borderId="20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10" fillId="0" borderId="33" xfId="0" applyFont="1" applyBorder="1" applyAlignment="1" applyProtection="1">
      <alignment horizontal="left" vertical="center"/>
    </xf>
    <xf numFmtId="0" fontId="10" fillId="0" borderId="39" xfId="0" applyFont="1" applyBorder="1" applyAlignment="1" applyProtection="1">
      <alignment horizontal="center" vertical="center"/>
    </xf>
    <xf numFmtId="0" fontId="10" fillId="0" borderId="34" xfId="0" applyFont="1" applyBorder="1" applyAlignment="1" applyProtection="1">
      <alignment horizontal="center" vertical="center"/>
    </xf>
    <xf numFmtId="0" fontId="13" fillId="0" borderId="16" xfId="0" applyFont="1" applyBorder="1" applyAlignment="1" applyProtection="1">
      <alignment horizontal="center" wrapText="1"/>
      <protection locked="0"/>
    </xf>
    <xf numFmtId="0" fontId="13" fillId="0" borderId="29" xfId="0" applyFont="1" applyBorder="1" applyAlignment="1" applyProtection="1">
      <alignment horizontal="center" wrapText="1"/>
      <protection locked="0"/>
    </xf>
    <xf numFmtId="0" fontId="13" fillId="0" borderId="0" xfId="0" applyNumberFormat="1" applyFont="1" applyBorder="1" applyAlignment="1" applyProtection="1">
      <alignment horizontal="center"/>
      <protection locked="0"/>
    </xf>
    <xf numFmtId="14" fontId="13" fillId="0" borderId="30" xfId="0" applyNumberFormat="1" applyFont="1" applyBorder="1" applyAlignment="1" applyProtection="1">
      <alignment horizontal="center"/>
      <protection locked="0"/>
    </xf>
    <xf numFmtId="0" fontId="13" fillId="0" borderId="29" xfId="0" applyNumberFormat="1" applyFont="1" applyBorder="1" applyAlignment="1" applyProtection="1">
      <alignment horizontal="center"/>
      <protection locked="0"/>
    </xf>
    <xf numFmtId="0" fontId="13" fillId="0" borderId="30" xfId="0" applyFont="1" applyBorder="1" applyAlignment="1" applyProtection="1">
      <alignment horizontal="center"/>
      <protection locked="0"/>
    </xf>
    <xf numFmtId="0" fontId="13" fillId="0" borderId="13" xfId="0" applyFont="1" applyBorder="1" applyAlignment="1" applyProtection="1">
      <alignment horizontal="center"/>
      <protection locked="0"/>
    </xf>
    <xf numFmtId="0" fontId="13" fillId="0" borderId="29" xfId="0" applyFont="1" applyBorder="1" applyAlignment="1" applyProtection="1">
      <alignment horizontal="center"/>
      <protection locked="0"/>
    </xf>
    <xf numFmtId="0" fontId="13" fillId="0" borderId="16" xfId="0" quotePrefix="1" applyFont="1" applyBorder="1" applyAlignment="1" applyProtection="1">
      <alignment horizontal="center"/>
      <protection locked="0"/>
    </xf>
    <xf numFmtId="0" fontId="13" fillId="0" borderId="30" xfId="0" applyNumberFormat="1" applyFont="1" applyBorder="1" applyAlignment="1" applyProtection="1">
      <alignment horizontal="center"/>
    </xf>
    <xf numFmtId="0" fontId="13" fillId="0" borderId="13" xfId="0" applyNumberFormat="1" applyFont="1" applyBorder="1" applyAlignment="1" applyProtection="1">
      <alignment horizontal="center"/>
    </xf>
    <xf numFmtId="0" fontId="13" fillId="0" borderId="29" xfId="0" applyNumberFormat="1" applyFont="1" applyBorder="1" applyAlignment="1" applyProtection="1">
      <alignment horizontal="center"/>
    </xf>
    <xf numFmtId="0" fontId="12" fillId="0" borderId="38" xfId="0" applyFont="1" applyBorder="1" applyAlignment="1" applyProtection="1">
      <alignment horizontal="right" vertical="center"/>
      <protection locked="0"/>
    </xf>
    <xf numFmtId="0" fontId="12" fillId="0" borderId="30" xfId="0" applyFont="1" applyBorder="1" applyAlignment="1" applyProtection="1">
      <alignment horizontal="right" vertical="center"/>
      <protection locked="0"/>
    </xf>
    <xf numFmtId="0" fontId="12" fillId="0" borderId="2" xfId="0" applyFont="1" applyBorder="1" applyAlignment="1" applyProtection="1">
      <alignment vertical="center"/>
    </xf>
    <xf numFmtId="0" fontId="12" fillId="0" borderId="13" xfId="0" applyFont="1" applyBorder="1" applyAlignment="1" applyProtection="1">
      <alignment vertical="center"/>
    </xf>
    <xf numFmtId="0" fontId="12" fillId="0" borderId="2" xfId="0" applyFont="1" applyBorder="1" applyAlignment="1" applyProtection="1">
      <alignment horizontal="right" vertical="center"/>
      <protection locked="0"/>
    </xf>
    <xf numFmtId="0" fontId="12" fillId="0" borderId="13" xfId="0" applyFont="1" applyBorder="1" applyAlignment="1" applyProtection="1">
      <alignment horizontal="right" vertical="center"/>
      <protection locked="0"/>
    </xf>
    <xf numFmtId="0" fontId="12" fillId="0" borderId="2" xfId="0" applyFont="1" applyBorder="1" applyAlignment="1" applyProtection="1">
      <alignment horizontal="left" vertical="center"/>
    </xf>
    <xf numFmtId="0" fontId="12" fillId="0" borderId="13" xfId="0" applyFont="1" applyBorder="1" applyAlignment="1" applyProtection="1">
      <alignment horizontal="left" vertical="center"/>
    </xf>
    <xf numFmtId="0" fontId="12" fillId="0" borderId="37" xfId="0" applyFont="1" applyBorder="1" applyAlignment="1" applyProtection="1">
      <alignment horizontal="left" vertical="center"/>
    </xf>
    <xf numFmtId="0" fontId="12" fillId="0" borderId="29" xfId="0" applyFont="1" applyBorder="1" applyAlignment="1" applyProtection="1">
      <alignment horizontal="left" vertical="center"/>
    </xf>
    <xf numFmtId="0" fontId="10" fillId="0" borderId="45" xfId="0" applyFont="1" applyBorder="1" applyAlignment="1">
      <alignment horizontal="center" vertical="center" wrapText="1"/>
    </xf>
    <xf numFmtId="0" fontId="10" fillId="0" borderId="46" xfId="0" applyFont="1" applyBorder="1" applyAlignment="1">
      <alignment horizontal="center" vertical="center" wrapText="1"/>
    </xf>
    <xf numFmtId="0" fontId="10" fillId="0" borderId="38" xfId="0" applyFont="1" applyBorder="1" applyAlignment="1">
      <alignment horizontal="center" vertical="center" wrapText="1"/>
    </xf>
    <xf numFmtId="0" fontId="10" fillId="0" borderId="37" xfId="0" applyFont="1" applyBorder="1" applyAlignment="1">
      <alignment horizontal="center" vertical="center" wrapText="1"/>
    </xf>
    <xf numFmtId="0" fontId="10" fillId="0" borderId="41" xfId="0" applyFont="1" applyBorder="1" applyAlignment="1">
      <alignment horizontal="center" vertical="center" wrapText="1"/>
    </xf>
    <xf numFmtId="0" fontId="10" fillId="0" borderId="42" xfId="0" applyFont="1" applyBorder="1" applyAlignment="1">
      <alignment horizontal="center" vertical="center" wrapText="1"/>
    </xf>
    <xf numFmtId="49" fontId="11" fillId="0" borderId="43" xfId="0" applyNumberFormat="1" applyFont="1" applyBorder="1" applyAlignment="1" applyProtection="1">
      <alignment horizontal="center" vertical="center"/>
    </xf>
    <xf numFmtId="0" fontId="25" fillId="0" borderId="1" xfId="0" applyFont="1" applyBorder="1" applyAlignment="1" applyProtection="1">
      <alignment horizontal="center" vertical="center" wrapText="1"/>
      <protection locked="0"/>
    </xf>
    <xf numFmtId="0" fontId="25" fillId="0" borderId="15" xfId="0" applyFont="1" applyBorder="1" applyAlignment="1" applyProtection="1">
      <alignment horizontal="center" vertical="center" wrapText="1"/>
      <protection locked="0"/>
    </xf>
    <xf numFmtId="0" fontId="9" fillId="0" borderId="50" xfId="0" applyFont="1" applyBorder="1" applyAlignment="1" applyProtection="1">
      <alignment horizontal="center" vertical="center" wrapText="1"/>
      <protection locked="0"/>
    </xf>
    <xf numFmtId="0" fontId="12" fillId="0" borderId="38" xfId="0" applyFont="1" applyBorder="1" applyAlignment="1" applyProtection="1">
      <alignment horizontal="right" vertical="center"/>
    </xf>
    <xf numFmtId="0" fontId="12" fillId="0" borderId="30" xfId="0" applyFont="1" applyBorder="1" applyAlignment="1" applyProtection="1">
      <alignment horizontal="right" vertical="center"/>
    </xf>
    <xf numFmtId="0" fontId="11" fillId="0" borderId="3" xfId="0" applyFont="1" applyBorder="1" applyAlignment="1" applyProtection="1">
      <alignment horizontal="center" vertical="center" wrapText="1"/>
    </xf>
    <xf numFmtId="0" fontId="11" fillId="0" borderId="10" xfId="0" applyFont="1" applyBorder="1" applyAlignment="1" applyProtection="1">
      <alignment horizontal="center" vertical="center" wrapText="1"/>
    </xf>
    <xf numFmtId="0" fontId="21" fillId="0" borderId="16" xfId="0" applyFont="1" applyBorder="1" applyAlignment="1" applyProtection="1">
      <alignment horizontal="center"/>
    </xf>
    <xf numFmtId="0" fontId="21" fillId="0" borderId="13" xfId="0" applyFont="1" applyBorder="1" applyAlignment="1" applyProtection="1">
      <alignment horizontal="center"/>
    </xf>
    <xf numFmtId="0" fontId="21" fillId="0" borderId="29" xfId="0" applyFont="1" applyBorder="1" applyAlignment="1" applyProtection="1">
      <alignment horizontal="center"/>
    </xf>
    <xf numFmtId="0" fontId="10" fillId="0" borderId="8" xfId="0" applyFont="1" applyBorder="1" applyAlignment="1" applyProtection="1">
      <alignment horizontal="center" vertical="center" wrapText="1"/>
    </xf>
    <xf numFmtId="0" fontId="10" fillId="0" borderId="44" xfId="0" applyFont="1" applyBorder="1" applyAlignment="1" applyProtection="1">
      <alignment horizontal="center" vertical="center" wrapText="1"/>
    </xf>
    <xf numFmtId="0" fontId="12" fillId="0" borderId="2" xfId="0" applyFont="1" applyBorder="1" applyAlignment="1" applyProtection="1">
      <alignment horizontal="right" vertical="center"/>
    </xf>
    <xf numFmtId="0" fontId="12" fillId="0" borderId="13" xfId="0" applyFont="1" applyBorder="1" applyAlignment="1" applyProtection="1">
      <alignment horizontal="right" vertical="center"/>
    </xf>
    <xf numFmtId="0" fontId="13" fillId="0" borderId="16" xfId="0" quotePrefix="1" applyFont="1" applyBorder="1" applyAlignment="1" applyProtection="1">
      <alignment horizontal="center"/>
    </xf>
    <xf numFmtId="0" fontId="13" fillId="0" borderId="29" xfId="0" applyFont="1" applyBorder="1" applyAlignment="1" applyProtection="1">
      <alignment horizontal="center"/>
    </xf>
    <xf numFmtId="0" fontId="13" fillId="0" borderId="30" xfId="0" applyFont="1" applyBorder="1" applyAlignment="1" applyProtection="1">
      <alignment horizontal="center"/>
    </xf>
    <xf numFmtId="0" fontId="13" fillId="0" borderId="13" xfId="0" applyFont="1" applyBorder="1" applyAlignment="1" applyProtection="1">
      <alignment horizontal="center"/>
    </xf>
    <xf numFmtId="0" fontId="13" fillId="0" borderId="16" xfId="0" applyFont="1" applyBorder="1" applyAlignment="1" applyProtection="1">
      <alignment horizontal="center" wrapText="1"/>
    </xf>
    <xf numFmtId="0" fontId="13" fillId="0" borderId="29" xfId="0" applyFont="1" applyBorder="1" applyAlignment="1" applyProtection="1">
      <alignment horizontal="center" wrapText="1"/>
    </xf>
    <xf numFmtId="0" fontId="13" fillId="0" borderId="0" xfId="0" applyNumberFormat="1" applyFont="1" applyBorder="1" applyAlignment="1" applyProtection="1">
      <alignment horizontal="center" wrapText="1"/>
    </xf>
    <xf numFmtId="0" fontId="13" fillId="0" borderId="0" xfId="0" applyNumberFormat="1" applyFont="1" applyBorder="1" applyAlignment="1" applyProtection="1">
      <alignment horizontal="center"/>
    </xf>
    <xf numFmtId="0" fontId="11" fillId="0" borderId="1" xfId="0" applyFont="1" applyBorder="1" applyAlignment="1" applyProtection="1">
      <alignment horizontal="center" vertical="center" wrapText="1"/>
    </xf>
    <xf numFmtId="0" fontId="10" fillId="0" borderId="45" xfId="0" applyFont="1" applyBorder="1" applyAlignment="1" applyProtection="1">
      <alignment horizontal="center" vertical="center" wrapText="1"/>
    </xf>
    <xf numFmtId="0" fontId="10" fillId="0" borderId="46" xfId="0" applyFont="1" applyBorder="1" applyAlignment="1" applyProtection="1">
      <alignment horizontal="center" vertical="center" wrapText="1"/>
    </xf>
    <xf numFmtId="0" fontId="10" fillId="0" borderId="38" xfId="0" applyFont="1" applyBorder="1" applyAlignment="1" applyProtection="1">
      <alignment horizontal="center" vertical="center" wrapText="1"/>
    </xf>
    <xf numFmtId="0" fontId="10" fillId="0" borderId="37" xfId="0" applyFont="1" applyBorder="1" applyAlignment="1" applyProtection="1">
      <alignment horizontal="center" vertical="center" wrapText="1"/>
    </xf>
    <xf numFmtId="0" fontId="10" fillId="0" borderId="41" xfId="0" applyFont="1" applyBorder="1" applyAlignment="1" applyProtection="1">
      <alignment horizontal="center" vertical="center" wrapText="1"/>
    </xf>
    <xf numFmtId="0" fontId="10" fillId="0" borderId="42" xfId="0" applyFont="1" applyBorder="1" applyAlignment="1" applyProtection="1">
      <alignment horizontal="center" vertical="center" wrapText="1"/>
    </xf>
    <xf numFmtId="49" fontId="9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43" xfId="0" applyFont="1" applyBorder="1" applyAlignment="1" applyProtection="1">
      <alignment horizontal="center" vertical="center"/>
    </xf>
    <xf numFmtId="0" fontId="27" fillId="0" borderId="40" xfId="0" applyFont="1" applyBorder="1" applyAlignment="1">
      <alignment horizontal="left" vertical="center"/>
    </xf>
    <xf numFmtId="0" fontId="27" fillId="0" borderId="22" xfId="0" applyFont="1" applyBorder="1" applyAlignment="1">
      <alignment horizontal="left" vertical="center"/>
    </xf>
    <xf numFmtId="0" fontId="27" fillId="0" borderId="23" xfId="0" applyFont="1" applyBorder="1" applyAlignment="1">
      <alignment horizontal="left" vertical="center"/>
    </xf>
    <xf numFmtId="0" fontId="9" fillId="0" borderId="47" xfId="0" applyFont="1" applyBorder="1" applyAlignment="1" applyProtection="1">
      <alignment horizontal="center" vertical="center" wrapText="1"/>
    </xf>
    <xf numFmtId="0" fontId="9" fillId="0" borderId="52" xfId="0" applyFont="1" applyBorder="1" applyAlignment="1" applyProtection="1">
      <alignment horizontal="center" vertical="center" wrapText="1"/>
    </xf>
    <xf numFmtId="0" fontId="20" fillId="0" borderId="35" xfId="0" applyFont="1" applyBorder="1" applyAlignment="1">
      <alignment horizontal="left" vertical="top"/>
    </xf>
    <xf numFmtId="0" fontId="20" fillId="0" borderId="2" xfId="0" applyFont="1" applyBorder="1" applyAlignment="1">
      <alignment horizontal="left" vertical="top"/>
    </xf>
    <xf numFmtId="0" fontId="20" fillId="0" borderId="36" xfId="0" applyFont="1" applyBorder="1" applyAlignment="1">
      <alignment horizontal="left" vertical="top"/>
    </xf>
    <xf numFmtId="0" fontId="20" fillId="0" borderId="16" xfId="0" applyFont="1" applyBorder="1" applyAlignment="1">
      <alignment horizontal="left" vertical="top"/>
    </xf>
    <xf numFmtId="0" fontId="20" fillId="0" borderId="13" xfId="0" applyFont="1" applyBorder="1" applyAlignment="1">
      <alignment horizontal="left" vertical="top"/>
    </xf>
    <xf numFmtId="0" fontId="20" fillId="0" borderId="14" xfId="0" applyFont="1" applyBorder="1" applyAlignment="1">
      <alignment horizontal="left" vertical="top"/>
    </xf>
    <xf numFmtId="0" fontId="9" fillId="0" borderId="5" xfId="0" applyFont="1" applyBorder="1" applyAlignment="1" applyProtection="1">
      <alignment horizontal="center" vertical="center" wrapText="1"/>
      <protection locked="0"/>
    </xf>
    <xf numFmtId="0" fontId="9" fillId="0" borderId="7" xfId="0" applyFont="1" applyBorder="1" applyAlignment="1" applyProtection="1">
      <alignment horizontal="center" vertical="center" wrapText="1"/>
      <protection locked="0"/>
    </xf>
    <xf numFmtId="0" fontId="25" fillId="0" borderId="11" xfId="0" applyFont="1" applyBorder="1" applyAlignment="1" applyProtection="1">
      <alignment horizontal="center" vertical="center" wrapText="1"/>
      <protection locked="0"/>
    </xf>
    <xf numFmtId="0" fontId="25" fillId="0" borderId="12" xfId="0" applyFont="1" applyBorder="1" applyAlignment="1" applyProtection="1">
      <alignment horizontal="center" vertical="center" wrapText="1"/>
      <protection locked="0"/>
    </xf>
    <xf numFmtId="0" fontId="9" fillId="0" borderId="41" xfId="0" applyFont="1" applyBorder="1" applyAlignment="1" applyProtection="1">
      <alignment horizontal="center" vertical="center" wrapText="1"/>
      <protection locked="0"/>
    </xf>
    <xf numFmtId="0" fontId="9" fillId="0" borderId="42" xfId="0" applyFont="1" applyBorder="1" applyAlignment="1" applyProtection="1">
      <alignment horizontal="center" vertical="center" wrapText="1"/>
      <protection locked="0"/>
    </xf>
    <xf numFmtId="0" fontId="13" fillId="0" borderId="4" xfId="0" applyFont="1" applyBorder="1" applyAlignment="1" applyProtection="1">
      <alignment horizontal="center" vertical="center" wrapText="1"/>
      <protection locked="0"/>
    </xf>
    <xf numFmtId="0" fontId="13" fillId="0" borderId="9" xfId="0" applyFont="1" applyBorder="1" applyAlignment="1" applyProtection="1">
      <alignment horizontal="center" vertical="center" wrapText="1"/>
      <protection locked="0"/>
    </xf>
    <xf numFmtId="0" fontId="32" fillId="0" borderId="11" xfId="0" applyFont="1" applyBorder="1" applyAlignment="1" applyProtection="1">
      <alignment horizontal="center" vertical="center" wrapText="1"/>
      <protection locked="0"/>
    </xf>
    <xf numFmtId="0" fontId="9" fillId="0" borderId="17" xfId="0" applyFont="1" applyBorder="1" applyAlignment="1">
      <alignment horizontal="left" vertical="center"/>
    </xf>
    <xf numFmtId="0" fontId="9" fillId="0" borderId="22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0" fillId="0" borderId="39" xfId="0" applyFont="1" applyBorder="1" applyAlignment="1">
      <alignment horizontal="left" vertical="center"/>
    </xf>
    <xf numFmtId="0" fontId="10" fillId="0" borderId="20" xfId="0" applyFont="1" applyBorder="1" applyAlignment="1">
      <alignment horizontal="left" vertical="center"/>
    </xf>
    <xf numFmtId="0" fontId="9" fillId="0" borderId="23" xfId="0" applyFont="1" applyBorder="1" applyAlignment="1">
      <alignment horizontal="left" vertical="center"/>
    </xf>
    <xf numFmtId="0" fontId="9" fillId="0" borderId="20" xfId="0" applyFont="1" applyBorder="1" applyAlignment="1">
      <alignment horizontal="left" vertical="center"/>
    </xf>
    <xf numFmtId="0" fontId="9" fillId="0" borderId="21" xfId="0" applyFont="1" applyBorder="1" applyAlignment="1">
      <alignment horizontal="left" vertical="center"/>
    </xf>
    <xf numFmtId="0" fontId="15" fillId="0" borderId="33" xfId="0" applyFont="1" applyBorder="1" applyAlignment="1" applyProtection="1">
      <alignment horizontal="center" vertical="center" wrapText="1"/>
      <protection locked="0"/>
    </xf>
    <xf numFmtId="0" fontId="15" fillId="0" borderId="34" xfId="0" applyFont="1" applyBorder="1" applyAlignment="1" applyProtection="1">
      <alignment horizontal="center" vertical="center" wrapText="1"/>
      <protection locked="0"/>
    </xf>
    <xf numFmtId="0" fontId="15" fillId="0" borderId="30" xfId="0" applyFont="1" applyBorder="1" applyAlignment="1" applyProtection="1">
      <alignment horizontal="center" vertical="center" wrapText="1"/>
      <protection locked="0"/>
    </xf>
    <xf numFmtId="0" fontId="15" fillId="0" borderId="29" xfId="0" applyFont="1" applyBorder="1" applyAlignment="1" applyProtection="1">
      <alignment horizontal="center" vertical="center" wrapText="1"/>
      <protection locked="0"/>
    </xf>
    <xf numFmtId="0" fontId="11" fillId="0" borderId="43" xfId="0" applyFont="1" applyBorder="1" applyAlignment="1">
      <alignment horizontal="center" vertical="center" wrapText="1"/>
    </xf>
    <xf numFmtId="49" fontId="11" fillId="0" borderId="43" xfId="0" applyNumberFormat="1" applyFont="1" applyBorder="1" applyAlignment="1" applyProtection="1">
      <alignment horizontal="center" vertical="center" wrapText="1"/>
    </xf>
    <xf numFmtId="0" fontId="10" fillId="0" borderId="17" xfId="0" applyFont="1" applyBorder="1" applyAlignment="1">
      <alignment horizontal="left" vertical="center"/>
    </xf>
    <xf numFmtId="0" fontId="10" fillId="0" borderId="22" xfId="0" applyFont="1" applyBorder="1" applyAlignment="1">
      <alignment horizontal="left" vertical="center"/>
    </xf>
    <xf numFmtId="0" fontId="9" fillId="0" borderId="51" xfId="0" applyFont="1" applyBorder="1" applyAlignment="1">
      <alignment horizontal="left" vertical="center"/>
    </xf>
    <xf numFmtId="0" fontId="9" fillId="0" borderId="26" xfId="0" applyFont="1" applyBorder="1" applyAlignment="1">
      <alignment horizontal="left" vertical="center"/>
    </xf>
    <xf numFmtId="0" fontId="18" fillId="0" borderId="39" xfId="0" applyFont="1" applyBorder="1" applyAlignment="1">
      <alignment horizontal="center" vertical="center" wrapText="1"/>
    </xf>
    <xf numFmtId="0" fontId="18" fillId="0" borderId="20" xfId="0" applyFont="1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0" fontId="18" fillId="0" borderId="16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9" fillId="0" borderId="14" xfId="0" applyFont="1" applyBorder="1" applyAlignment="1">
      <alignment horizontal="left" vertical="center"/>
    </xf>
    <xf numFmtId="0" fontId="13" fillId="0" borderId="2" xfId="0" applyFont="1" applyBorder="1" applyAlignment="1" applyProtection="1">
      <alignment horizontal="center"/>
      <protection locked="0"/>
    </xf>
    <xf numFmtId="0" fontId="13" fillId="0" borderId="0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22" fillId="0" borderId="18" xfId="0" applyFont="1" applyBorder="1" applyAlignment="1" applyProtection="1">
      <alignment horizontal="left" vertical="center"/>
      <protection locked="0"/>
    </xf>
    <xf numFmtId="0" fontId="22" fillId="0" borderId="6" xfId="0" applyFont="1" applyBorder="1" applyAlignment="1" applyProtection="1">
      <alignment horizontal="left" vertical="center"/>
      <protection locked="0"/>
    </xf>
    <xf numFmtId="0" fontId="22" fillId="0" borderId="24" xfId="0" applyFont="1" applyBorder="1" applyAlignment="1" applyProtection="1">
      <alignment horizontal="left" vertical="center"/>
      <protection locked="0"/>
    </xf>
    <xf numFmtId="0" fontId="22" fillId="0" borderId="0" xfId="0" applyFont="1" applyBorder="1" applyAlignment="1" applyProtection="1">
      <alignment horizontal="left" vertical="center"/>
      <protection locked="0"/>
    </xf>
    <xf numFmtId="49" fontId="22" fillId="0" borderId="35" xfId="0" applyNumberFormat="1" applyFont="1" applyBorder="1" applyAlignment="1">
      <alignment horizontal="center"/>
    </xf>
    <xf numFmtId="49" fontId="22" fillId="0" borderId="2" xfId="0" applyNumberFormat="1" applyFont="1" applyBorder="1" applyAlignment="1">
      <alignment horizontal="center"/>
    </xf>
    <xf numFmtId="49" fontId="22" fillId="0" borderId="24" xfId="0" applyNumberFormat="1" applyFont="1" applyBorder="1" applyAlignment="1">
      <alignment horizontal="center"/>
    </xf>
    <xf numFmtId="49" fontId="22" fillId="0" borderId="0" xfId="0" applyNumberFormat="1" applyFont="1" applyBorder="1" applyAlignment="1">
      <alignment horizontal="center"/>
    </xf>
    <xf numFmtId="0" fontId="24" fillId="0" borderId="35" xfId="0" applyFont="1" applyBorder="1" applyAlignment="1" applyProtection="1">
      <alignment horizontal="center" vertical="center"/>
      <protection locked="0"/>
    </xf>
    <xf numFmtId="0" fontId="24" fillId="0" borderId="2" xfId="0" applyFont="1" applyBorder="1" applyAlignment="1" applyProtection="1">
      <alignment horizontal="center" vertical="center"/>
      <protection locked="0"/>
    </xf>
    <xf numFmtId="0" fontId="24" fillId="0" borderId="36" xfId="0" applyFont="1" applyBorder="1" applyAlignment="1" applyProtection="1">
      <alignment horizontal="center" vertical="center"/>
      <protection locked="0"/>
    </xf>
    <xf numFmtId="0" fontId="24" fillId="0" borderId="24" xfId="0" applyFont="1" applyBorder="1" applyAlignment="1" applyProtection="1">
      <alignment horizontal="center" vertical="center"/>
      <protection locked="0"/>
    </xf>
    <xf numFmtId="0" fontId="24" fillId="0" borderId="0" xfId="0" applyFont="1" applyBorder="1" applyAlignment="1" applyProtection="1">
      <alignment horizontal="center" vertical="center"/>
      <protection locked="0"/>
    </xf>
    <xf numFmtId="0" fontId="24" fillId="0" borderId="25" xfId="0" applyFont="1" applyBorder="1" applyAlignment="1" applyProtection="1">
      <alignment horizontal="center" vertical="center"/>
      <protection locked="0"/>
    </xf>
    <xf numFmtId="49" fontId="24" fillId="0" borderId="35" xfId="0" applyNumberFormat="1" applyFont="1" applyBorder="1" applyAlignment="1">
      <alignment horizontal="left"/>
    </xf>
    <xf numFmtId="49" fontId="24" fillId="0" borderId="2" xfId="0" applyNumberFormat="1" applyFont="1" applyBorder="1" applyAlignment="1">
      <alignment horizontal="left"/>
    </xf>
    <xf numFmtId="49" fontId="24" fillId="0" borderId="36" xfId="0" applyNumberFormat="1" applyFont="1" applyBorder="1" applyAlignment="1">
      <alignment horizontal="left"/>
    </xf>
    <xf numFmtId="49" fontId="24" fillId="0" borderId="24" xfId="0" applyNumberFormat="1" applyFont="1" applyBorder="1" applyAlignment="1">
      <alignment horizontal="left"/>
    </xf>
    <xf numFmtId="0" fontId="11" fillId="0" borderId="0" xfId="0" applyFont="1" applyBorder="1" applyAlignment="1">
      <alignment horizontal="left"/>
    </xf>
    <xf numFmtId="0" fontId="11" fillId="0" borderId="25" xfId="0" applyFont="1" applyBorder="1" applyAlignment="1">
      <alignment horizontal="left"/>
    </xf>
    <xf numFmtId="0" fontId="9" fillId="0" borderId="33" xfId="0" applyFont="1" applyBorder="1" applyAlignment="1" applyProtection="1">
      <alignment horizontal="center"/>
      <protection locked="0"/>
    </xf>
    <xf numFmtId="0" fontId="9" fillId="0" borderId="3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0" fontId="9" fillId="0" borderId="29" xfId="0" applyFont="1" applyBorder="1" applyAlignment="1" applyProtection="1">
      <alignment horizontal="center"/>
      <protection locked="0"/>
    </xf>
    <xf numFmtId="0" fontId="9" fillId="5" borderId="11" xfId="0" applyFont="1" applyFill="1" applyBorder="1" applyAlignment="1" applyProtection="1">
      <alignment horizontal="center" vertical="center" wrapText="1"/>
      <protection locked="0"/>
    </xf>
    <xf numFmtId="0" fontId="9" fillId="0" borderId="11" xfId="0" applyFont="1" applyBorder="1" applyAlignment="1" applyProtection="1">
      <alignment horizontal="center"/>
      <protection locked="0"/>
    </xf>
    <xf numFmtId="0" fontId="9" fillId="0" borderId="12" xfId="0" applyFont="1" applyBorder="1" applyAlignment="1" applyProtection="1">
      <alignment horizontal="center"/>
      <protection locked="0"/>
    </xf>
    <xf numFmtId="0" fontId="25" fillId="0" borderId="5" xfId="0" applyFont="1" applyBorder="1" applyAlignment="1" applyProtection="1">
      <alignment horizontal="center" vertical="center" wrapText="1"/>
      <protection locked="0"/>
    </xf>
    <xf numFmtId="0" fontId="27" fillId="0" borderId="40" xfId="0" applyFont="1" applyBorder="1" applyAlignment="1" applyProtection="1">
      <alignment horizontal="left" vertical="center"/>
      <protection locked="0"/>
    </xf>
    <xf numFmtId="0" fontId="27" fillId="0" borderId="22" xfId="0" applyFont="1" applyBorder="1" applyAlignment="1" applyProtection="1">
      <alignment horizontal="left" vertical="center"/>
      <protection locked="0"/>
    </xf>
    <xf numFmtId="0" fontId="27" fillId="0" borderId="23" xfId="0" applyFont="1" applyBorder="1" applyAlignment="1" applyProtection="1">
      <alignment horizontal="left" vertical="center"/>
      <protection locked="0"/>
    </xf>
    <xf numFmtId="0" fontId="9" fillId="0" borderId="53" xfId="0" applyFont="1" applyBorder="1" applyAlignment="1" applyProtection="1">
      <alignment horizontal="center" vertical="center" wrapText="1"/>
    </xf>
    <xf numFmtId="0" fontId="9" fillId="0" borderId="54" xfId="0" applyFont="1" applyBorder="1" applyAlignment="1" applyProtection="1">
      <alignment horizontal="center" vertical="center" wrapText="1"/>
    </xf>
    <xf numFmtId="0" fontId="31" fillId="0" borderId="35" xfId="0" applyFont="1" applyBorder="1" applyAlignment="1">
      <alignment horizontal="center" vertical="center"/>
    </xf>
    <xf numFmtId="0" fontId="31" fillId="0" borderId="2" xfId="0" applyFont="1" applyBorder="1" applyAlignment="1">
      <alignment horizontal="center" vertical="center"/>
    </xf>
    <xf numFmtId="0" fontId="31" fillId="0" borderId="36" xfId="0" applyFont="1" applyBorder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31" fillId="0" borderId="13" xfId="0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/>
    </xf>
    <xf numFmtId="0" fontId="13" fillId="0" borderId="28" xfId="0" applyFont="1" applyBorder="1" applyAlignment="1" applyProtection="1">
      <alignment horizontal="center"/>
      <protection locked="0"/>
    </xf>
    <xf numFmtId="0" fontId="13" fillId="0" borderId="49" xfId="0" applyFont="1" applyBorder="1" applyAlignment="1" applyProtection="1">
      <alignment horizontal="center"/>
      <protection locked="0"/>
    </xf>
    <xf numFmtId="0" fontId="13" fillId="0" borderId="11" xfId="0" applyFont="1" applyBorder="1" applyAlignment="1" applyProtection="1">
      <alignment horizontal="center"/>
      <protection locked="0"/>
    </xf>
    <xf numFmtId="0" fontId="13" fillId="0" borderId="12" xfId="0" applyFont="1" applyBorder="1" applyAlignment="1" applyProtection="1">
      <alignment horizontal="center"/>
      <protection locked="0"/>
    </xf>
    <xf numFmtId="0" fontId="13" fillId="0" borderId="11" xfId="0" applyFont="1" applyBorder="1" applyAlignment="1" applyProtection="1">
      <alignment horizontal="center" wrapText="1"/>
      <protection locked="0"/>
    </xf>
    <xf numFmtId="0" fontId="13" fillId="0" borderId="12" xfId="0" applyFont="1" applyBorder="1" applyAlignment="1" applyProtection="1">
      <alignment horizontal="center" wrapText="1"/>
      <protection locked="0"/>
    </xf>
    <xf numFmtId="0" fontId="13" fillId="0" borderId="28" xfId="0" applyFont="1" applyBorder="1" applyAlignment="1" applyProtection="1">
      <alignment horizontal="center" vertical="center" wrapText="1"/>
      <protection locked="0"/>
    </xf>
    <xf numFmtId="0" fontId="9" fillId="0" borderId="48" xfId="0" applyFont="1" applyBorder="1" applyAlignment="1" applyProtection="1">
      <alignment horizontal="center" vertical="center"/>
      <protection locked="0"/>
    </xf>
    <xf numFmtId="0" fontId="9" fillId="0" borderId="33" xfId="1" applyFont="1" applyBorder="1" applyAlignment="1" applyProtection="1">
      <alignment horizontal="center" vertical="center" wrapText="1"/>
      <protection locked="0"/>
    </xf>
    <xf numFmtId="0" fontId="9" fillId="0" borderId="34" xfId="1" applyFont="1" applyBorder="1" applyAlignment="1" applyProtection="1">
      <alignment horizontal="center" vertical="center" wrapText="1"/>
      <protection locked="0"/>
    </xf>
    <xf numFmtId="0" fontId="9" fillId="0" borderId="41" xfId="1" applyFont="1" applyBorder="1" applyAlignment="1" applyProtection="1">
      <alignment horizontal="center" vertical="center" wrapText="1"/>
      <protection locked="0"/>
    </xf>
    <xf numFmtId="0" fontId="9" fillId="0" borderId="42" xfId="1" applyFont="1" applyBorder="1" applyAlignment="1" applyProtection="1">
      <alignment horizontal="center" vertical="center" wrapText="1"/>
      <protection locked="0"/>
    </xf>
    <xf numFmtId="0" fontId="9" fillId="0" borderId="33" xfId="1" applyFont="1" applyBorder="1" applyAlignment="1" applyProtection="1">
      <alignment horizontal="center" vertical="center"/>
      <protection locked="0"/>
    </xf>
    <xf numFmtId="0" fontId="9" fillId="0" borderId="34" xfId="1" applyFont="1" applyBorder="1" applyAlignment="1" applyProtection="1">
      <alignment horizontal="center" vertical="center"/>
      <protection locked="0"/>
    </xf>
    <xf numFmtId="0" fontId="9" fillId="0" borderId="41" xfId="1" applyFont="1" applyBorder="1" applyAlignment="1" applyProtection="1">
      <alignment horizontal="center" vertical="center"/>
      <protection locked="0"/>
    </xf>
    <xf numFmtId="0" fontId="9" fillId="0" borderId="42" xfId="1" applyFont="1" applyBorder="1" applyAlignment="1" applyProtection="1">
      <alignment horizontal="center" vertical="center"/>
      <protection locked="0"/>
    </xf>
    <xf numFmtId="0" fontId="9" fillId="4" borderId="47" xfId="0" applyFont="1" applyFill="1" applyBorder="1" applyAlignment="1" applyProtection="1">
      <alignment horizontal="center" vertical="center"/>
      <protection locked="0"/>
    </xf>
    <xf numFmtId="0" fontId="9" fillId="4" borderId="11" xfId="0" applyFont="1" applyFill="1" applyBorder="1" applyAlignment="1" applyProtection="1">
      <alignment horizontal="center" vertical="center"/>
      <protection locked="0"/>
    </xf>
    <xf numFmtId="0" fontId="9" fillId="4" borderId="11" xfId="0" applyFont="1" applyFill="1" applyBorder="1" applyAlignment="1" applyProtection="1">
      <alignment horizontal="center" vertical="center" wrapText="1"/>
    </xf>
    <xf numFmtId="0" fontId="16" fillId="2" borderId="11" xfId="0" applyFont="1" applyFill="1" applyBorder="1" applyAlignment="1" applyProtection="1">
      <alignment horizontal="center" vertical="center"/>
      <protection locked="0"/>
    </xf>
    <xf numFmtId="0" fontId="9" fillId="0" borderId="1" xfId="1" applyFont="1" applyBorder="1" applyAlignment="1" applyProtection="1">
      <alignment horizontal="center" vertical="center" wrapText="1"/>
      <protection locked="0"/>
    </xf>
    <xf numFmtId="0" fontId="9" fillId="0" borderId="44" xfId="1" applyFont="1" applyBorder="1" applyAlignment="1" applyProtection="1">
      <alignment horizontal="center" vertical="center" wrapText="1"/>
      <protection locked="0"/>
    </xf>
    <xf numFmtId="0" fontId="30" fillId="0" borderId="1" xfId="1" applyFont="1" applyBorder="1" applyAlignment="1" applyProtection="1">
      <alignment horizontal="center" vertical="center" wrapText="1"/>
      <protection locked="0"/>
    </xf>
    <xf numFmtId="0" fontId="30" fillId="0" borderId="44" xfId="1" applyFont="1" applyBorder="1" applyAlignment="1" applyProtection="1">
      <alignment horizontal="center" vertical="center" wrapText="1"/>
      <protection locked="0"/>
    </xf>
    <xf numFmtId="0" fontId="17" fillId="0" borderId="1" xfId="0" applyFont="1" applyBorder="1" applyAlignment="1" applyProtection="1">
      <alignment horizontal="center" vertical="center"/>
      <protection locked="0"/>
    </xf>
    <xf numFmtId="0" fontId="17" fillId="0" borderId="15" xfId="0" applyFont="1" applyBorder="1" applyAlignment="1" applyProtection="1">
      <alignment horizontal="center" vertical="center"/>
      <protection locked="0"/>
    </xf>
    <xf numFmtId="0" fontId="15" fillId="0" borderId="1" xfId="1" applyFont="1" applyBorder="1" applyAlignment="1" applyProtection="1">
      <alignment horizontal="center" vertical="center" wrapText="1"/>
      <protection locked="0"/>
    </xf>
    <xf numFmtId="0" fontId="15" fillId="0" borderId="44" xfId="1" applyFont="1" applyBorder="1" applyAlignment="1" applyProtection="1">
      <alignment horizontal="center" vertical="center" wrapText="1"/>
      <protection locked="0"/>
    </xf>
    <xf numFmtId="0" fontId="9" fillId="0" borderId="50" xfId="0" applyFont="1" applyBorder="1" applyAlignment="1" applyProtection="1">
      <alignment horizontal="center" vertical="center"/>
      <protection locked="0"/>
    </xf>
    <xf numFmtId="0" fontId="9" fillId="0" borderId="1" xfId="1" applyFont="1" applyBorder="1" applyAlignment="1" applyProtection="1">
      <alignment horizontal="center" vertical="center"/>
      <protection locked="0"/>
    </xf>
    <xf numFmtId="0" fontId="9" fillId="0" borderId="15" xfId="1" applyFont="1" applyBorder="1" applyAlignment="1" applyProtection="1">
      <alignment horizontal="center" vertical="center"/>
      <protection locked="0"/>
    </xf>
    <xf numFmtId="0" fontId="15" fillId="4" borderId="1" xfId="0" applyFont="1" applyFill="1" applyBorder="1" applyAlignment="1" applyProtection="1">
      <alignment horizontal="center" vertical="center" wrapText="1"/>
      <protection locked="0"/>
    </xf>
    <xf numFmtId="0" fontId="15" fillId="4" borderId="15" xfId="0" applyFont="1" applyFill="1" applyBorder="1" applyAlignment="1" applyProtection="1">
      <alignment horizontal="center" vertical="center" wrapText="1"/>
      <protection locked="0"/>
    </xf>
    <xf numFmtId="0" fontId="9" fillId="4" borderId="11" xfId="0" applyFont="1" applyFill="1" applyBorder="1" applyAlignment="1" applyProtection="1">
      <alignment horizontal="center" vertical="center" wrapText="1"/>
      <protection locked="0"/>
    </xf>
    <xf numFmtId="0" fontId="9" fillId="4" borderId="1" xfId="0" applyFont="1" applyFill="1" applyBorder="1" applyAlignment="1" applyProtection="1">
      <alignment horizontal="center" vertical="center" wrapText="1"/>
      <protection locked="0"/>
    </xf>
    <xf numFmtId="0" fontId="9" fillId="4" borderId="15" xfId="0" applyFont="1" applyFill="1" applyBorder="1" applyAlignment="1" applyProtection="1">
      <alignment horizontal="center" vertical="center" wrapText="1"/>
      <protection locked="0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9" fillId="4" borderId="15" xfId="0" applyFont="1" applyFill="1" applyBorder="1" applyAlignment="1" applyProtection="1">
      <alignment horizontal="center" vertical="center"/>
      <protection locked="0"/>
    </xf>
    <xf numFmtId="0" fontId="13" fillId="4" borderId="4" xfId="0" applyFont="1" applyFill="1" applyBorder="1" applyAlignment="1" applyProtection="1">
      <alignment horizontal="center" vertical="center" wrapText="1"/>
      <protection locked="0"/>
    </xf>
    <xf numFmtId="0" fontId="13" fillId="4" borderId="9" xfId="0" applyFont="1" applyFill="1" applyBorder="1" applyAlignment="1" applyProtection="1">
      <alignment horizontal="center" vertical="center" wrapText="1"/>
      <protection locked="0"/>
    </xf>
    <xf numFmtId="49" fontId="9" fillId="0" borderId="1" xfId="0" applyNumberFormat="1" applyFont="1" applyBorder="1" applyAlignment="1" applyProtection="1">
      <alignment horizontal="center" vertical="center"/>
      <protection locked="0"/>
    </xf>
    <xf numFmtId="49" fontId="9" fillId="0" borderId="15" xfId="0" applyNumberFormat="1" applyFont="1" applyBorder="1" applyAlignment="1" applyProtection="1">
      <alignment horizontal="center" vertical="center"/>
      <protection locked="0"/>
    </xf>
    <xf numFmtId="0" fontId="9" fillId="0" borderId="47" xfId="0" applyFont="1" applyBorder="1" applyAlignment="1" applyProtection="1">
      <alignment horizontal="center"/>
      <protection locked="0"/>
    </xf>
    <xf numFmtId="0" fontId="13" fillId="0" borderId="47" xfId="0" applyFont="1" applyBorder="1" applyAlignment="1" applyProtection="1">
      <alignment horizontal="center"/>
      <protection locked="0"/>
    </xf>
    <xf numFmtId="0" fontId="36" fillId="5" borderId="35" xfId="0" applyFont="1" applyFill="1" applyBorder="1" applyAlignment="1">
      <alignment horizontal="center"/>
    </xf>
    <xf numFmtId="0" fontId="36" fillId="5" borderId="2" xfId="0" applyFont="1" applyFill="1" applyBorder="1" applyAlignment="1">
      <alignment horizontal="center"/>
    </xf>
    <xf numFmtId="0" fontId="36" fillId="5" borderId="36" xfId="0" applyFont="1" applyFill="1" applyBorder="1" applyAlignment="1">
      <alignment horizontal="center"/>
    </xf>
    <xf numFmtId="0" fontId="11" fillId="5" borderId="0" xfId="0" applyFont="1" applyFill="1" applyBorder="1" applyAlignment="1">
      <alignment horizontal="center"/>
    </xf>
    <xf numFmtId="0" fontId="40" fillId="5" borderId="0" xfId="0" applyFont="1" applyFill="1" applyBorder="1" applyAlignment="1">
      <alignment horizontal="center"/>
    </xf>
    <xf numFmtId="0" fontId="50" fillId="5" borderId="24" xfId="1" applyFont="1" applyFill="1" applyBorder="1" applyAlignment="1">
      <alignment horizontal="center" vertical="center" wrapText="1"/>
    </xf>
    <xf numFmtId="0" fontId="50" fillId="5" borderId="0" xfId="1" applyFont="1" applyFill="1" applyAlignment="1">
      <alignment horizontal="center" vertical="center" wrapText="1"/>
    </xf>
    <xf numFmtId="0" fontId="50" fillId="5" borderId="25" xfId="1" applyFont="1" applyFill="1" applyBorder="1" applyAlignment="1">
      <alignment horizontal="center" vertical="center" wrapText="1"/>
    </xf>
    <xf numFmtId="0" fontId="49" fillId="8" borderId="24" xfId="1" applyFont="1" applyFill="1" applyBorder="1" applyAlignment="1">
      <alignment horizontal="center" vertical="center"/>
    </xf>
    <xf numFmtId="0" fontId="49" fillId="8" borderId="0" xfId="1" applyFont="1" applyFill="1" applyBorder="1" applyAlignment="1">
      <alignment horizontal="center" vertical="center"/>
    </xf>
    <xf numFmtId="0" fontId="44" fillId="10" borderId="24" xfId="0" applyFont="1" applyFill="1" applyBorder="1" applyAlignment="1">
      <alignment horizontal="center"/>
    </xf>
    <xf numFmtId="0" fontId="44" fillId="10" borderId="0" xfId="0" applyFont="1" applyFill="1" applyBorder="1" applyAlignment="1">
      <alignment horizontal="center"/>
    </xf>
    <xf numFmtId="0" fontId="54" fillId="11" borderId="11" xfId="0" applyFont="1" applyFill="1" applyBorder="1" applyAlignment="1">
      <alignment horizontal="right"/>
    </xf>
    <xf numFmtId="0" fontId="53" fillId="5" borderId="11" xfId="0" applyFont="1" applyFill="1" applyBorder="1" applyAlignment="1" applyProtection="1">
      <alignment horizontal="center"/>
      <protection locked="0"/>
    </xf>
    <xf numFmtId="0" fontId="9" fillId="0" borderId="33" xfId="0" applyFont="1" applyBorder="1" applyAlignment="1" applyProtection="1">
      <alignment horizontal="center" vertical="center" wrapText="1"/>
    </xf>
    <xf numFmtId="0" fontId="9" fillId="0" borderId="34" xfId="0" applyFont="1" applyBorder="1" applyAlignment="1" applyProtection="1">
      <alignment horizontal="center" vertical="center" wrapText="1"/>
    </xf>
    <xf numFmtId="0" fontId="9" fillId="0" borderId="30" xfId="0" applyFont="1" applyBorder="1" applyAlignment="1" applyProtection="1">
      <alignment horizontal="center" vertical="center" wrapText="1"/>
    </xf>
    <xf numFmtId="0" fontId="9" fillId="0" borderId="29" xfId="0" applyFont="1" applyBorder="1" applyAlignment="1" applyProtection="1">
      <alignment horizontal="center" vertical="center" wrapText="1"/>
    </xf>
    <xf numFmtId="49" fontId="9" fillId="0" borderId="11" xfId="0" applyNumberFormat="1" applyFont="1" applyBorder="1" applyAlignment="1" applyProtection="1">
      <alignment horizontal="center" vertical="center" wrapText="1"/>
    </xf>
    <xf numFmtId="0" fontId="9" fillId="0" borderId="1" xfId="0" applyFont="1" applyBorder="1" applyAlignment="1" applyProtection="1">
      <alignment horizontal="center" vertical="center" wrapText="1"/>
    </xf>
    <xf numFmtId="0" fontId="9" fillId="0" borderId="15" xfId="0" applyFont="1" applyBorder="1" applyAlignment="1" applyProtection="1">
      <alignment horizontal="center" vertical="center" wrapText="1"/>
    </xf>
    <xf numFmtId="0" fontId="25" fillId="0" borderId="1" xfId="0" applyFont="1" applyBorder="1" applyAlignment="1" applyProtection="1">
      <alignment horizontal="center" vertical="center" wrapText="1"/>
    </xf>
    <xf numFmtId="0" fontId="25" fillId="0" borderId="15" xfId="0" applyFont="1" applyBorder="1" applyAlignment="1" applyProtection="1">
      <alignment horizontal="center" vertical="center" wrapText="1"/>
    </xf>
    <xf numFmtId="0" fontId="9" fillId="0" borderId="4" xfId="0" applyFont="1" applyBorder="1" applyAlignment="1" applyProtection="1">
      <alignment horizontal="center" vertical="center" wrapText="1"/>
    </xf>
    <xf numFmtId="0" fontId="9" fillId="0" borderId="9" xfId="0" applyFont="1" applyBorder="1" applyAlignment="1" applyProtection="1">
      <alignment horizontal="center" vertical="center" wrapText="1"/>
    </xf>
    <xf numFmtId="0" fontId="9" fillId="0" borderId="12" xfId="0" applyFont="1" applyBorder="1" applyAlignment="1" applyProtection="1">
      <alignment horizontal="center" vertical="center"/>
      <protection locked="0"/>
    </xf>
    <xf numFmtId="0" fontId="14" fillId="0" borderId="35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36" xfId="0" applyFont="1" applyBorder="1" applyAlignment="1">
      <alignment horizontal="center" vertical="center"/>
    </xf>
    <xf numFmtId="0" fontId="14" fillId="0" borderId="24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25" xfId="0" applyFont="1" applyBorder="1" applyAlignment="1">
      <alignment horizontal="center" vertical="center"/>
    </xf>
    <xf numFmtId="0" fontId="10" fillId="0" borderId="35" xfId="0" applyFont="1" applyBorder="1" applyAlignment="1">
      <alignment horizontal="center"/>
    </xf>
    <xf numFmtId="0" fontId="10" fillId="0" borderId="37" xfId="0" applyFont="1" applyBorder="1" applyAlignment="1">
      <alignment horizontal="center"/>
    </xf>
    <xf numFmtId="0" fontId="10" fillId="0" borderId="38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37" xfId="0" applyFont="1" applyBorder="1" applyAlignment="1">
      <alignment horizontal="center" vertical="center"/>
    </xf>
    <xf numFmtId="0" fontId="10" fillId="0" borderId="33" xfId="0" applyFont="1" applyBorder="1" applyAlignment="1">
      <alignment horizontal="left" vertical="center"/>
    </xf>
    <xf numFmtId="0" fontId="10" fillId="0" borderId="34" xfId="0" applyFont="1" applyBorder="1" applyAlignment="1">
      <alignment horizontal="left" vertical="center"/>
    </xf>
    <xf numFmtId="49" fontId="11" fillId="0" borderId="43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33" xfId="0" applyFont="1" applyBorder="1" applyAlignment="1">
      <alignment horizontal="center" vertical="center" wrapText="1"/>
    </xf>
    <xf numFmtId="0" fontId="9" fillId="0" borderId="34" xfId="0" applyFont="1" applyBorder="1" applyAlignment="1">
      <alignment horizontal="center" vertical="center" wrapText="1"/>
    </xf>
    <xf numFmtId="0" fontId="9" fillId="0" borderId="30" xfId="0" applyFont="1" applyBorder="1" applyAlignment="1">
      <alignment horizontal="center" vertical="center" wrapText="1"/>
    </xf>
    <xf numFmtId="0" fontId="9" fillId="0" borderId="29" xfId="0" applyFont="1" applyBorder="1" applyAlignment="1">
      <alignment horizontal="center" vertical="center" wrapText="1"/>
    </xf>
    <xf numFmtId="49" fontId="9" fillId="0" borderId="11" xfId="0" applyNumberFormat="1" applyFont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 wrapText="1"/>
    </xf>
    <xf numFmtId="0" fontId="25" fillId="0" borderId="15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35">
    <dxf>
      <font>
        <condense val="0"/>
        <extend val="0"/>
        <color indexed="9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ndense val="0"/>
        <extend val="0"/>
        <color indexed="9"/>
      </font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4" tint="-0.249977111117893"/>
        </patternFill>
      </fill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</dxf>
    <dxf>
      <fill>
        <patternFill>
          <bgColor rgb="FFFF0000"/>
        </patternFill>
      </fill>
    </dxf>
    <dxf>
      <font>
        <condense val="0"/>
        <extend val="0"/>
        <color indexed="9"/>
      </font>
    </dxf>
    <dxf>
      <fill>
        <patternFill>
          <bgColor rgb="FFFF0000"/>
        </patternFill>
      </fill>
    </dxf>
    <dxf>
      <font>
        <condense val="0"/>
        <extend val="0"/>
        <color indexed="9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ndense val="0"/>
        <extend val="0"/>
        <color indexed="9"/>
      </font>
    </dxf>
    <dxf>
      <fill>
        <patternFill>
          <bgColor rgb="FFFF0000"/>
        </patternFill>
      </fill>
    </dxf>
    <dxf>
      <font>
        <condense val="0"/>
        <extend val="0"/>
        <color indexed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indexed="9"/>
      </font>
    </dxf>
    <dxf>
      <fill>
        <patternFill>
          <bgColor rgb="FFFF00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380990</xdr:colOff>
      <xdr:row>2</xdr:row>
      <xdr:rowOff>67234</xdr:rowOff>
    </xdr:from>
    <xdr:to>
      <xdr:col>9</xdr:col>
      <xdr:colOff>18696</xdr:colOff>
      <xdr:row>3</xdr:row>
      <xdr:rowOff>126352</xdr:rowOff>
    </xdr:to>
    <xdr:sp macro="[0]!PROTÓTIPO" textlink="">
      <xdr:nvSpPr>
        <xdr:cNvPr id="8" name="Bisel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 bwMode="auto">
        <a:xfrm>
          <a:off x="5546902" y="392205"/>
          <a:ext cx="198000" cy="216000"/>
        </a:xfrm>
        <a:prstGeom prst="bevel">
          <a:avLst/>
        </a:prstGeom>
        <a:noFill/>
        <a:ln w="6350"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566521</xdr:colOff>
      <xdr:row>2</xdr:row>
      <xdr:rowOff>67236</xdr:rowOff>
    </xdr:from>
    <xdr:to>
      <xdr:col>15</xdr:col>
      <xdr:colOff>24932</xdr:colOff>
      <xdr:row>3</xdr:row>
      <xdr:rowOff>124486</xdr:rowOff>
    </xdr:to>
    <xdr:sp macro="[0]!PRODUÇÃO" textlink="">
      <xdr:nvSpPr>
        <xdr:cNvPr id="9" name="Bisel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 bwMode="auto">
        <a:xfrm>
          <a:off x="11178492" y="392207"/>
          <a:ext cx="209205" cy="214132"/>
        </a:xfrm>
        <a:prstGeom prst="bevel">
          <a:avLst/>
        </a:prstGeom>
        <a:noFill/>
        <a:ln w="6350"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1064561</xdr:colOff>
      <xdr:row>2</xdr:row>
      <xdr:rowOff>67236</xdr:rowOff>
    </xdr:from>
    <xdr:to>
      <xdr:col>12</xdr:col>
      <xdr:colOff>18708</xdr:colOff>
      <xdr:row>3</xdr:row>
      <xdr:rowOff>124486</xdr:rowOff>
    </xdr:to>
    <xdr:sp macro="[0]!PRE_PROJETO" textlink="">
      <xdr:nvSpPr>
        <xdr:cNvPr id="10" name="Bisel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 bwMode="auto">
        <a:xfrm>
          <a:off x="8561296" y="392207"/>
          <a:ext cx="198000" cy="214132"/>
        </a:xfrm>
        <a:prstGeom prst="bevel">
          <a:avLst/>
        </a:prstGeom>
        <a:noFill/>
        <a:ln w="6350"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44824</xdr:colOff>
      <xdr:row>0</xdr:row>
      <xdr:rowOff>67235</xdr:rowOff>
    </xdr:from>
    <xdr:to>
      <xdr:col>19</xdr:col>
      <xdr:colOff>34241</xdr:colOff>
      <xdr:row>2</xdr:row>
      <xdr:rowOff>150034</xdr:rowOff>
    </xdr:to>
    <xdr:sp macro="[0]!ADC_PROCESSO" textlink="">
      <xdr:nvSpPr>
        <xdr:cNvPr id="17" name="Retângulo de cantos arredondados 16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/>
      </xdr:nvSpPr>
      <xdr:spPr bwMode="auto">
        <a:xfrm>
          <a:off x="13435853" y="67235"/>
          <a:ext cx="1199653" cy="407770"/>
        </a:xfrm>
        <a:prstGeom prst="roundRect">
          <a:avLst/>
        </a:prstGeom>
        <a:solidFill>
          <a:srgbClr val="0070C0"/>
        </a:solidFill>
        <a:ln>
          <a:noFill/>
          <a:headEnd type="none" w="med" len="med"/>
          <a:tailEnd type="none" w="med" len="med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ADICIONAR </a:t>
          </a:r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PROCESSO</a:t>
          </a:r>
        </a:p>
      </xdr:txBody>
    </xdr:sp>
    <xdr:clientData/>
  </xdr:twoCellAnchor>
  <xdr:twoCellAnchor>
    <xdr:from>
      <xdr:col>17</xdr:col>
      <xdr:colOff>44824</xdr:colOff>
      <xdr:row>3</xdr:row>
      <xdr:rowOff>75327</xdr:rowOff>
    </xdr:from>
    <xdr:to>
      <xdr:col>19</xdr:col>
      <xdr:colOff>34240</xdr:colOff>
      <xdr:row>5</xdr:row>
      <xdr:rowOff>114548</xdr:rowOff>
    </xdr:to>
    <xdr:sp macro="[0]!ADC_MAGNAFLUX" textlink="">
      <xdr:nvSpPr>
        <xdr:cNvPr id="18" name="Retângulo de cantos arredondados 17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/>
      </xdr:nvSpPr>
      <xdr:spPr bwMode="auto">
        <a:xfrm>
          <a:off x="13435853" y="557180"/>
          <a:ext cx="1199652" cy="409015"/>
        </a:xfrm>
        <a:prstGeom prst="roundRect">
          <a:avLst/>
        </a:prstGeom>
        <a:solidFill>
          <a:srgbClr val="0070C0"/>
        </a:solidFill>
        <a:ln>
          <a:noFill/>
          <a:headEnd type="none" w="med" len="med"/>
          <a:tailEnd type="none" w="med" len="med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ADICIONAR </a:t>
          </a:r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MAGNAFLUX</a:t>
          </a:r>
        </a:p>
      </xdr:txBody>
    </xdr:sp>
    <xdr:clientData/>
  </xdr:twoCellAnchor>
  <xdr:twoCellAnchor>
    <xdr:from>
      <xdr:col>17</xdr:col>
      <xdr:colOff>44824</xdr:colOff>
      <xdr:row>6</xdr:row>
      <xdr:rowOff>28635</xdr:rowOff>
    </xdr:from>
    <xdr:to>
      <xdr:col>19</xdr:col>
      <xdr:colOff>34240</xdr:colOff>
      <xdr:row>8</xdr:row>
      <xdr:rowOff>56650</xdr:rowOff>
    </xdr:to>
    <xdr:sp macro="[0]!ADC_JATEAR" textlink="">
      <xdr:nvSpPr>
        <xdr:cNvPr id="19" name="Retângulo de cantos arredondados 1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/>
      </xdr:nvSpPr>
      <xdr:spPr bwMode="auto">
        <a:xfrm>
          <a:off x="13435853" y="1048370"/>
          <a:ext cx="1199652" cy="409015"/>
        </a:xfrm>
        <a:prstGeom prst="roundRect">
          <a:avLst/>
        </a:prstGeom>
        <a:solidFill>
          <a:srgbClr val="0070C0"/>
        </a:solidFill>
        <a:ln>
          <a:noFill/>
          <a:headEnd type="none" w="med" len="med"/>
          <a:tailEnd type="none" w="med" len="med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ADICIONAR </a:t>
          </a:r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JATEAR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627529</xdr:colOff>
      <xdr:row>2</xdr:row>
      <xdr:rowOff>4482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27529" cy="32945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582081</xdr:colOff>
      <xdr:row>2</xdr:row>
      <xdr:rowOff>43579</xdr:rowOff>
    </xdr:from>
    <xdr:to>
      <xdr:col>15</xdr:col>
      <xdr:colOff>29287</xdr:colOff>
      <xdr:row>3</xdr:row>
      <xdr:rowOff>102697</xdr:rowOff>
    </xdr:to>
    <xdr:sp macro="[0]!PRODUÇÃO" textlink="">
      <xdr:nvSpPr>
        <xdr:cNvPr id="887" name="Bisel 886">
          <a:extLst>
            <a:ext uri="{FF2B5EF4-FFF2-40B4-BE49-F238E27FC236}">
              <a16:creationId xmlns:a16="http://schemas.microsoft.com/office/drawing/2014/main" xmlns="" id="{00000000-0008-0000-0100-000077030000}"/>
            </a:ext>
          </a:extLst>
        </xdr:cNvPr>
        <xdr:cNvSpPr/>
      </xdr:nvSpPr>
      <xdr:spPr bwMode="auto">
        <a:xfrm>
          <a:off x="11395757" y="368550"/>
          <a:ext cx="198001" cy="216000"/>
        </a:xfrm>
        <a:prstGeom prst="bevel">
          <a:avLst/>
        </a:prstGeom>
        <a:noFill/>
        <a:ln w="6350"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1080123</xdr:colOff>
      <xdr:row>2</xdr:row>
      <xdr:rowOff>43579</xdr:rowOff>
    </xdr:from>
    <xdr:to>
      <xdr:col>12</xdr:col>
      <xdr:colOff>34270</xdr:colOff>
      <xdr:row>3</xdr:row>
      <xdr:rowOff>102697</xdr:rowOff>
    </xdr:to>
    <xdr:sp macro="[0]!PRE_PROJETO" textlink="">
      <xdr:nvSpPr>
        <xdr:cNvPr id="888" name="Bisel 887">
          <a:extLst>
            <a:ext uri="{FF2B5EF4-FFF2-40B4-BE49-F238E27FC236}">
              <a16:creationId xmlns:a16="http://schemas.microsoft.com/office/drawing/2014/main" xmlns="" id="{00000000-0008-0000-0100-000078030000}"/>
            </a:ext>
          </a:extLst>
        </xdr:cNvPr>
        <xdr:cNvSpPr/>
      </xdr:nvSpPr>
      <xdr:spPr bwMode="auto">
        <a:xfrm>
          <a:off x="8778564" y="368550"/>
          <a:ext cx="198000" cy="216000"/>
        </a:xfrm>
        <a:prstGeom prst="bevel">
          <a:avLst/>
        </a:prstGeom>
        <a:noFill/>
        <a:ln w="6350"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425826</xdr:colOff>
      <xdr:row>2</xdr:row>
      <xdr:rowOff>43579</xdr:rowOff>
    </xdr:from>
    <xdr:to>
      <xdr:col>9</xdr:col>
      <xdr:colOff>29915</xdr:colOff>
      <xdr:row>3</xdr:row>
      <xdr:rowOff>102697</xdr:rowOff>
    </xdr:to>
    <xdr:sp macro="[0]!PROTÓTIPO" textlink="">
      <xdr:nvSpPr>
        <xdr:cNvPr id="8" name="Bisel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/>
      </xdr:nvSpPr>
      <xdr:spPr bwMode="auto">
        <a:xfrm>
          <a:off x="5793444" y="368550"/>
          <a:ext cx="198000" cy="216000"/>
        </a:xfrm>
        <a:prstGeom prst="bevel">
          <a:avLst/>
        </a:prstGeom>
        <a:noFill/>
        <a:ln w="6350"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56030</xdr:colOff>
      <xdr:row>0</xdr:row>
      <xdr:rowOff>44824</xdr:rowOff>
    </xdr:from>
    <xdr:to>
      <xdr:col>19</xdr:col>
      <xdr:colOff>45448</xdr:colOff>
      <xdr:row>2</xdr:row>
      <xdr:rowOff>127623</xdr:rowOff>
    </xdr:to>
    <xdr:sp macro="[0]!ADC_PROCESSO" textlink="">
      <xdr:nvSpPr>
        <xdr:cNvPr id="9" name="Retângulo de cantos arredondados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 bwMode="auto">
        <a:xfrm>
          <a:off x="13659971" y="44824"/>
          <a:ext cx="1199653" cy="407770"/>
        </a:xfrm>
        <a:prstGeom prst="roundRect">
          <a:avLst/>
        </a:prstGeom>
        <a:solidFill>
          <a:srgbClr val="0070C0"/>
        </a:solidFill>
        <a:ln>
          <a:noFill/>
          <a:headEnd type="none" w="med" len="med"/>
          <a:tailEnd type="none" w="med" len="med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ADICIONAR </a:t>
          </a:r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PROCESSO</a:t>
          </a:r>
        </a:p>
      </xdr:txBody>
    </xdr:sp>
    <xdr:clientData/>
  </xdr:twoCellAnchor>
  <xdr:twoCellAnchor>
    <xdr:from>
      <xdr:col>17</xdr:col>
      <xdr:colOff>56030</xdr:colOff>
      <xdr:row>3</xdr:row>
      <xdr:rowOff>52916</xdr:rowOff>
    </xdr:from>
    <xdr:to>
      <xdr:col>19</xdr:col>
      <xdr:colOff>45447</xdr:colOff>
      <xdr:row>6</xdr:row>
      <xdr:rowOff>13696</xdr:rowOff>
    </xdr:to>
    <xdr:sp macro="[0]!ADC_MAGNAFLUX" textlink="">
      <xdr:nvSpPr>
        <xdr:cNvPr id="10" name="Retângulo de cantos arredondados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/>
      </xdr:nvSpPr>
      <xdr:spPr bwMode="auto">
        <a:xfrm>
          <a:off x="13659971" y="534769"/>
          <a:ext cx="1199652" cy="442633"/>
        </a:xfrm>
        <a:prstGeom prst="roundRect">
          <a:avLst/>
        </a:prstGeom>
        <a:solidFill>
          <a:srgbClr val="0070C0"/>
        </a:solidFill>
        <a:ln>
          <a:noFill/>
          <a:headEnd type="none" w="med" len="med"/>
          <a:tailEnd type="none" w="med" len="med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ADICIONAR </a:t>
          </a:r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MAGNAFLUX</a:t>
          </a:r>
        </a:p>
      </xdr:txBody>
    </xdr:sp>
    <xdr:clientData/>
  </xdr:twoCellAnchor>
  <xdr:twoCellAnchor>
    <xdr:from>
      <xdr:col>17</xdr:col>
      <xdr:colOff>56030</xdr:colOff>
      <xdr:row>6</xdr:row>
      <xdr:rowOff>95871</xdr:rowOff>
    </xdr:from>
    <xdr:to>
      <xdr:col>19</xdr:col>
      <xdr:colOff>45447</xdr:colOff>
      <xdr:row>9</xdr:row>
      <xdr:rowOff>11827</xdr:rowOff>
    </xdr:to>
    <xdr:sp macro="[0]!ADC_JATEAR" textlink="">
      <xdr:nvSpPr>
        <xdr:cNvPr id="14" name="Retângulo de cantos arredondados 13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SpPr/>
      </xdr:nvSpPr>
      <xdr:spPr bwMode="auto">
        <a:xfrm>
          <a:off x="13659971" y="1059577"/>
          <a:ext cx="1199652" cy="409015"/>
        </a:xfrm>
        <a:prstGeom prst="roundRect">
          <a:avLst/>
        </a:prstGeom>
        <a:solidFill>
          <a:srgbClr val="0070C0"/>
        </a:solidFill>
        <a:ln>
          <a:noFill/>
          <a:headEnd type="none" w="med" len="med"/>
          <a:tailEnd type="none" w="med" len="med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ADICIONAR </a:t>
          </a:r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JATEAR</a:t>
          </a:r>
        </a:p>
      </xdr:txBody>
    </xdr:sp>
    <xdr:clientData/>
  </xdr:twoCellAnchor>
  <xdr:twoCellAnchor>
    <xdr:from>
      <xdr:col>17</xdr:col>
      <xdr:colOff>56029</xdr:colOff>
      <xdr:row>9</xdr:row>
      <xdr:rowOff>89647</xdr:rowOff>
    </xdr:from>
    <xdr:to>
      <xdr:col>19</xdr:col>
      <xdr:colOff>45446</xdr:colOff>
      <xdr:row>12</xdr:row>
      <xdr:rowOff>16809</xdr:rowOff>
    </xdr:to>
    <xdr:sp macro="[0]!CARIMBO.CARIMBO" textlink="">
      <xdr:nvSpPr>
        <xdr:cNvPr id="15" name="Retângulo de cantos arredondados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SpPr/>
      </xdr:nvSpPr>
      <xdr:spPr bwMode="auto">
        <a:xfrm>
          <a:off x="13659970" y="1546412"/>
          <a:ext cx="1199652" cy="409015"/>
        </a:xfrm>
        <a:prstGeom prst="roundRect">
          <a:avLst/>
        </a:prstGeom>
        <a:solidFill>
          <a:srgbClr val="C00000"/>
        </a:solidFill>
        <a:ln>
          <a:noFill/>
          <a:headEnd type="none" w="med" len="med"/>
          <a:tailEnd type="none" w="med" len="med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pt-BR" sz="1100" b="1" i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EIME's</a:t>
          </a:r>
          <a:r>
            <a:rPr lang="pt-BR" sz="1100" b="1" i="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/ CÓPIA CONTROLADA</a:t>
          </a:r>
          <a:endParaRPr lang="pt-BR" sz="1200" b="1" i="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627529</xdr:colOff>
      <xdr:row>2</xdr:row>
      <xdr:rowOff>1370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27529" cy="3294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313764</xdr:colOff>
      <xdr:row>2</xdr:row>
      <xdr:rowOff>44823</xdr:rowOff>
    </xdr:from>
    <xdr:to>
      <xdr:col>9</xdr:col>
      <xdr:colOff>18705</xdr:colOff>
      <xdr:row>3</xdr:row>
      <xdr:rowOff>103941</xdr:rowOff>
    </xdr:to>
    <xdr:sp macro="[0]!PROTÓTIPO" textlink="">
      <xdr:nvSpPr>
        <xdr:cNvPr id="10" name="Bisel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6488205" y="369794"/>
          <a:ext cx="198000" cy="216000"/>
        </a:xfrm>
        <a:prstGeom prst="bevel">
          <a:avLst/>
        </a:prstGeom>
        <a:noFill/>
        <a:ln w="6350"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660523</xdr:colOff>
      <xdr:row>2</xdr:row>
      <xdr:rowOff>42334</xdr:rowOff>
    </xdr:from>
    <xdr:to>
      <xdr:col>15</xdr:col>
      <xdr:colOff>18082</xdr:colOff>
      <xdr:row>3</xdr:row>
      <xdr:rowOff>101452</xdr:rowOff>
    </xdr:to>
    <xdr:sp macro="[0]!PRODUÇÃO" textlink="">
      <xdr:nvSpPr>
        <xdr:cNvPr id="11" name="Bisel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12404288" y="367305"/>
          <a:ext cx="198000" cy="216000"/>
        </a:xfrm>
        <a:prstGeom prst="bevel">
          <a:avLst/>
        </a:prstGeom>
        <a:noFill/>
        <a:ln w="6350"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1035299</xdr:colOff>
      <xdr:row>2</xdr:row>
      <xdr:rowOff>42334</xdr:rowOff>
    </xdr:from>
    <xdr:to>
      <xdr:col>12</xdr:col>
      <xdr:colOff>23064</xdr:colOff>
      <xdr:row>3</xdr:row>
      <xdr:rowOff>101452</xdr:rowOff>
    </xdr:to>
    <xdr:sp macro="[0]!PRE_PROJETO" textlink="">
      <xdr:nvSpPr>
        <xdr:cNvPr id="12" name="Bisel 11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9831917" y="367305"/>
          <a:ext cx="198000" cy="216000"/>
        </a:xfrm>
        <a:prstGeom prst="bevel">
          <a:avLst/>
        </a:prstGeom>
        <a:noFill/>
        <a:ln w="6350"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33618</xdr:colOff>
      <xdr:row>0</xdr:row>
      <xdr:rowOff>78441</xdr:rowOff>
    </xdr:from>
    <xdr:to>
      <xdr:col>19</xdr:col>
      <xdr:colOff>23036</xdr:colOff>
      <xdr:row>3</xdr:row>
      <xdr:rowOff>4358</xdr:rowOff>
    </xdr:to>
    <xdr:sp macro="[0]!ADC_PROCESSO" textlink="">
      <xdr:nvSpPr>
        <xdr:cNvPr id="13" name="Retângulo de cantos arredondados 12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SpPr/>
      </xdr:nvSpPr>
      <xdr:spPr bwMode="auto">
        <a:xfrm>
          <a:off x="14881412" y="78441"/>
          <a:ext cx="1199653" cy="407770"/>
        </a:xfrm>
        <a:prstGeom prst="roundRect">
          <a:avLst/>
        </a:prstGeom>
        <a:solidFill>
          <a:srgbClr val="0070C0"/>
        </a:solidFill>
        <a:ln>
          <a:noFill/>
          <a:headEnd type="none" w="med" len="med"/>
          <a:tailEnd type="none" w="med" len="med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ADICIONAR </a:t>
          </a:r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PROCESSO</a:t>
          </a:r>
        </a:p>
      </xdr:txBody>
    </xdr:sp>
    <xdr:clientData/>
  </xdr:twoCellAnchor>
  <xdr:twoCellAnchor>
    <xdr:from>
      <xdr:col>17</xdr:col>
      <xdr:colOff>33618</xdr:colOff>
      <xdr:row>3</xdr:row>
      <xdr:rowOff>86533</xdr:rowOff>
    </xdr:from>
    <xdr:to>
      <xdr:col>19</xdr:col>
      <xdr:colOff>23035</xdr:colOff>
      <xdr:row>5</xdr:row>
      <xdr:rowOff>125754</xdr:rowOff>
    </xdr:to>
    <xdr:sp macro="[0]!ADC_MAGNAFLUX" textlink="">
      <xdr:nvSpPr>
        <xdr:cNvPr id="14" name="Retângulo de cantos arredondados 13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SpPr/>
      </xdr:nvSpPr>
      <xdr:spPr bwMode="auto">
        <a:xfrm>
          <a:off x="14881412" y="568386"/>
          <a:ext cx="1199652" cy="409015"/>
        </a:xfrm>
        <a:prstGeom prst="roundRect">
          <a:avLst/>
        </a:prstGeom>
        <a:solidFill>
          <a:srgbClr val="0070C0"/>
        </a:solidFill>
        <a:ln>
          <a:noFill/>
          <a:headEnd type="none" w="med" len="med"/>
          <a:tailEnd type="none" w="med" len="med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ADICIONAR </a:t>
          </a:r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MAGNAFLUX</a:t>
          </a:r>
        </a:p>
      </xdr:txBody>
    </xdr:sp>
    <xdr:clientData/>
  </xdr:twoCellAnchor>
  <xdr:twoCellAnchor>
    <xdr:from>
      <xdr:col>17</xdr:col>
      <xdr:colOff>33618</xdr:colOff>
      <xdr:row>6</xdr:row>
      <xdr:rowOff>39841</xdr:rowOff>
    </xdr:from>
    <xdr:to>
      <xdr:col>19</xdr:col>
      <xdr:colOff>23035</xdr:colOff>
      <xdr:row>8</xdr:row>
      <xdr:rowOff>67856</xdr:rowOff>
    </xdr:to>
    <xdr:sp macro="[0]!ADC_JATEAR" textlink="">
      <xdr:nvSpPr>
        <xdr:cNvPr id="15" name="Retângulo de cantos arredondados 14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14881412" y="1059576"/>
          <a:ext cx="1199652" cy="409015"/>
        </a:xfrm>
        <a:prstGeom prst="roundRect">
          <a:avLst/>
        </a:prstGeom>
        <a:solidFill>
          <a:srgbClr val="0070C0"/>
        </a:solidFill>
        <a:ln>
          <a:noFill/>
          <a:headEnd type="none" w="med" len="med"/>
          <a:tailEnd type="none" w="med" len="med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ADICIONAR </a:t>
          </a:r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JATEAR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627529</xdr:colOff>
      <xdr:row>2</xdr:row>
      <xdr:rowOff>4482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27529" cy="32945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662830</xdr:colOff>
      <xdr:row>2</xdr:row>
      <xdr:rowOff>46254</xdr:rowOff>
    </xdr:from>
    <xdr:to>
      <xdr:col>15</xdr:col>
      <xdr:colOff>20389</xdr:colOff>
      <xdr:row>3</xdr:row>
      <xdr:rowOff>105372</xdr:rowOff>
    </xdr:to>
    <xdr:sp macro="[0]!PRODUÇÃO" textlink="">
      <xdr:nvSpPr>
        <xdr:cNvPr id="119" name="Bisel 118">
          <a:extLst>
            <a:ext uri="{FF2B5EF4-FFF2-40B4-BE49-F238E27FC236}">
              <a16:creationId xmlns:a16="http://schemas.microsoft.com/office/drawing/2014/main" xmlns="" id="{00000000-0008-0000-0300-000077000000}"/>
            </a:ext>
          </a:extLst>
        </xdr:cNvPr>
        <xdr:cNvSpPr/>
      </xdr:nvSpPr>
      <xdr:spPr bwMode="auto">
        <a:xfrm>
          <a:off x="12406595" y="371225"/>
          <a:ext cx="198000" cy="216000"/>
        </a:xfrm>
        <a:prstGeom prst="bevel">
          <a:avLst/>
        </a:prstGeom>
        <a:noFill/>
        <a:ln w="6350"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1032998</xdr:colOff>
      <xdr:row>2</xdr:row>
      <xdr:rowOff>46254</xdr:rowOff>
    </xdr:from>
    <xdr:to>
      <xdr:col>12</xdr:col>
      <xdr:colOff>20763</xdr:colOff>
      <xdr:row>3</xdr:row>
      <xdr:rowOff>105372</xdr:rowOff>
    </xdr:to>
    <xdr:sp macro="[0]!PRE_PROJETO" textlink="">
      <xdr:nvSpPr>
        <xdr:cNvPr id="120" name="Bisel 119">
          <a:extLst>
            <a:ext uri="{FF2B5EF4-FFF2-40B4-BE49-F238E27FC236}">
              <a16:creationId xmlns:a16="http://schemas.microsoft.com/office/drawing/2014/main" xmlns="" id="{00000000-0008-0000-0300-000078000000}"/>
            </a:ext>
          </a:extLst>
        </xdr:cNvPr>
        <xdr:cNvSpPr/>
      </xdr:nvSpPr>
      <xdr:spPr bwMode="auto">
        <a:xfrm>
          <a:off x="9829616" y="371225"/>
          <a:ext cx="198000" cy="216000"/>
        </a:xfrm>
        <a:prstGeom prst="bevel">
          <a:avLst/>
        </a:prstGeom>
        <a:noFill/>
        <a:ln w="6350"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314446</xdr:colOff>
      <xdr:row>2</xdr:row>
      <xdr:rowOff>46254</xdr:rowOff>
    </xdr:from>
    <xdr:to>
      <xdr:col>9</xdr:col>
      <xdr:colOff>19387</xdr:colOff>
      <xdr:row>3</xdr:row>
      <xdr:rowOff>105372</xdr:rowOff>
    </xdr:to>
    <xdr:sp macro="[0]!PROTÓTIPO" textlink="">
      <xdr:nvSpPr>
        <xdr:cNvPr id="121" name="Bisel 120">
          <a:extLst>
            <a:ext uri="{FF2B5EF4-FFF2-40B4-BE49-F238E27FC236}">
              <a16:creationId xmlns:a16="http://schemas.microsoft.com/office/drawing/2014/main" xmlns="" id="{00000000-0008-0000-0300-000079000000}"/>
            </a:ext>
          </a:extLst>
        </xdr:cNvPr>
        <xdr:cNvSpPr/>
      </xdr:nvSpPr>
      <xdr:spPr bwMode="auto">
        <a:xfrm>
          <a:off x="6488887" y="371225"/>
          <a:ext cx="198000" cy="216000"/>
        </a:xfrm>
        <a:prstGeom prst="bevel">
          <a:avLst/>
        </a:prstGeom>
        <a:noFill/>
        <a:ln w="6350"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31127</xdr:colOff>
      <xdr:row>0</xdr:row>
      <xdr:rowOff>38598</xdr:rowOff>
    </xdr:from>
    <xdr:to>
      <xdr:col>19</xdr:col>
      <xdr:colOff>20545</xdr:colOff>
      <xdr:row>2</xdr:row>
      <xdr:rowOff>121397</xdr:rowOff>
    </xdr:to>
    <xdr:sp macro="[0]!ADC_PROCESSO" textlink="">
      <xdr:nvSpPr>
        <xdr:cNvPr id="5" name="Retângulo de cantos arredondados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 bwMode="auto">
        <a:xfrm>
          <a:off x="14878921" y="38598"/>
          <a:ext cx="1199653" cy="407770"/>
        </a:xfrm>
        <a:prstGeom prst="roundRect">
          <a:avLst/>
        </a:prstGeom>
        <a:solidFill>
          <a:srgbClr val="0070C0"/>
        </a:solidFill>
        <a:ln>
          <a:noFill/>
          <a:headEnd type="none" w="med" len="med"/>
          <a:tailEnd type="none" w="med" len="med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ADICIONAR </a:t>
          </a:r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PROCESSO</a:t>
          </a:r>
        </a:p>
      </xdr:txBody>
    </xdr:sp>
    <xdr:clientData/>
  </xdr:twoCellAnchor>
  <xdr:twoCellAnchor>
    <xdr:from>
      <xdr:col>17</xdr:col>
      <xdr:colOff>31127</xdr:colOff>
      <xdr:row>3</xdr:row>
      <xdr:rowOff>46690</xdr:rowOff>
    </xdr:from>
    <xdr:to>
      <xdr:col>19</xdr:col>
      <xdr:colOff>20544</xdr:colOff>
      <xdr:row>5</xdr:row>
      <xdr:rowOff>85911</xdr:rowOff>
    </xdr:to>
    <xdr:sp macro="[0]!ADC_MAGNAFLUX" textlink="">
      <xdr:nvSpPr>
        <xdr:cNvPr id="8" name="Retângulo de cantos arredondados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/>
      </xdr:nvSpPr>
      <xdr:spPr bwMode="auto">
        <a:xfrm>
          <a:off x="14878921" y="528543"/>
          <a:ext cx="1199652" cy="409015"/>
        </a:xfrm>
        <a:prstGeom prst="roundRect">
          <a:avLst/>
        </a:prstGeom>
        <a:solidFill>
          <a:srgbClr val="0070C0"/>
        </a:solidFill>
        <a:ln>
          <a:noFill/>
          <a:headEnd type="none" w="med" len="med"/>
          <a:tailEnd type="none" w="med" len="med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ADICIONAR </a:t>
          </a:r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MAGNAFLUX</a:t>
          </a:r>
        </a:p>
      </xdr:txBody>
    </xdr:sp>
    <xdr:clientData/>
  </xdr:twoCellAnchor>
  <xdr:twoCellAnchor>
    <xdr:from>
      <xdr:col>17</xdr:col>
      <xdr:colOff>31127</xdr:colOff>
      <xdr:row>5</xdr:row>
      <xdr:rowOff>168086</xdr:rowOff>
    </xdr:from>
    <xdr:to>
      <xdr:col>19</xdr:col>
      <xdr:colOff>20544</xdr:colOff>
      <xdr:row>8</xdr:row>
      <xdr:rowOff>28013</xdr:rowOff>
    </xdr:to>
    <xdr:sp macro="[0]!ADC_JATEAR" textlink="">
      <xdr:nvSpPr>
        <xdr:cNvPr id="9" name="Retângulo de cantos arredondados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SpPr/>
      </xdr:nvSpPr>
      <xdr:spPr bwMode="auto">
        <a:xfrm>
          <a:off x="14878921" y="1019733"/>
          <a:ext cx="1199652" cy="409015"/>
        </a:xfrm>
        <a:prstGeom prst="roundRect">
          <a:avLst/>
        </a:prstGeom>
        <a:solidFill>
          <a:srgbClr val="0070C0"/>
        </a:solidFill>
        <a:ln>
          <a:noFill/>
          <a:headEnd type="none" w="med" len="med"/>
          <a:tailEnd type="none" w="med" len="med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ADICIONAR </a:t>
          </a:r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JATEAR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627529</xdr:colOff>
      <xdr:row>2</xdr:row>
      <xdr:rowOff>4482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27529" cy="32945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559669</xdr:colOff>
      <xdr:row>2</xdr:row>
      <xdr:rowOff>42334</xdr:rowOff>
    </xdr:from>
    <xdr:to>
      <xdr:col>15</xdr:col>
      <xdr:colOff>18081</xdr:colOff>
      <xdr:row>3</xdr:row>
      <xdr:rowOff>99584</xdr:rowOff>
    </xdr:to>
    <xdr:sp macro="[0]!PRODUÇÃO" textlink="">
      <xdr:nvSpPr>
        <xdr:cNvPr id="2" name="Bisel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 bwMode="auto">
        <a:xfrm>
          <a:off x="11246719" y="375709"/>
          <a:ext cx="201362" cy="219175"/>
        </a:xfrm>
        <a:prstGeom prst="bevel">
          <a:avLst/>
        </a:prstGeom>
        <a:noFill/>
        <a:ln w="6350"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1046505</xdr:colOff>
      <xdr:row>2</xdr:row>
      <xdr:rowOff>42334</xdr:rowOff>
    </xdr:from>
    <xdr:to>
      <xdr:col>12</xdr:col>
      <xdr:colOff>23064</xdr:colOff>
      <xdr:row>3</xdr:row>
      <xdr:rowOff>99584</xdr:rowOff>
    </xdr:to>
    <xdr:sp macro="[0]!PRE_PROJETO" textlink="">
      <xdr:nvSpPr>
        <xdr:cNvPr id="3" name="Bisel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 bwMode="auto">
        <a:xfrm>
          <a:off x="8714130" y="375709"/>
          <a:ext cx="195759" cy="219175"/>
        </a:xfrm>
        <a:prstGeom prst="bevel">
          <a:avLst/>
        </a:prstGeom>
        <a:noFill/>
        <a:ln w="6350"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432670</xdr:colOff>
      <xdr:row>2</xdr:row>
      <xdr:rowOff>42334</xdr:rowOff>
    </xdr:from>
    <xdr:to>
      <xdr:col>9</xdr:col>
      <xdr:colOff>25552</xdr:colOff>
      <xdr:row>3</xdr:row>
      <xdr:rowOff>99584</xdr:rowOff>
    </xdr:to>
    <xdr:sp macro="[0]!PROTÓTIPO" textlink="">
      <xdr:nvSpPr>
        <xdr:cNvPr id="4" name="Bisel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 bwMode="auto">
        <a:xfrm>
          <a:off x="5867523" y="367305"/>
          <a:ext cx="198000" cy="214132"/>
        </a:xfrm>
        <a:prstGeom prst="bevel">
          <a:avLst/>
        </a:prstGeom>
        <a:noFill/>
        <a:ln w="6350"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44823</xdr:colOff>
      <xdr:row>0</xdr:row>
      <xdr:rowOff>44824</xdr:rowOff>
    </xdr:from>
    <xdr:to>
      <xdr:col>19</xdr:col>
      <xdr:colOff>34241</xdr:colOff>
      <xdr:row>2</xdr:row>
      <xdr:rowOff>127623</xdr:rowOff>
    </xdr:to>
    <xdr:sp macro="[0]!ADC_PROCESSO" textlink="">
      <xdr:nvSpPr>
        <xdr:cNvPr id="10" name="Retângulo de cantos arredondados 9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 bwMode="auto">
        <a:xfrm>
          <a:off x="13671176" y="44824"/>
          <a:ext cx="1199653" cy="407770"/>
        </a:xfrm>
        <a:prstGeom prst="roundRect">
          <a:avLst/>
        </a:prstGeom>
        <a:solidFill>
          <a:srgbClr val="0070C0"/>
        </a:solidFill>
        <a:ln>
          <a:noFill/>
          <a:headEnd type="none" w="med" len="med"/>
          <a:tailEnd type="none" w="med" len="med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ADICIONAR </a:t>
          </a:r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PROCESSO</a:t>
          </a:r>
        </a:p>
      </xdr:txBody>
    </xdr:sp>
    <xdr:clientData/>
  </xdr:twoCellAnchor>
  <xdr:twoCellAnchor>
    <xdr:from>
      <xdr:col>17</xdr:col>
      <xdr:colOff>44824</xdr:colOff>
      <xdr:row>3</xdr:row>
      <xdr:rowOff>49493</xdr:rowOff>
    </xdr:from>
    <xdr:to>
      <xdr:col>19</xdr:col>
      <xdr:colOff>34241</xdr:colOff>
      <xdr:row>5</xdr:row>
      <xdr:rowOff>144743</xdr:rowOff>
    </xdr:to>
    <xdr:sp macro="[0]!ADC_MAGNAFLUX" textlink="">
      <xdr:nvSpPr>
        <xdr:cNvPr id="11" name="Retângulo de cantos arredondados 10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/>
      </xdr:nvSpPr>
      <xdr:spPr bwMode="auto">
        <a:xfrm>
          <a:off x="13671177" y="531346"/>
          <a:ext cx="1199652" cy="409015"/>
        </a:xfrm>
        <a:prstGeom prst="roundRect">
          <a:avLst/>
        </a:prstGeom>
        <a:solidFill>
          <a:srgbClr val="0070C0"/>
        </a:solidFill>
        <a:ln>
          <a:noFill/>
          <a:headEnd type="none" w="med" len="med"/>
          <a:tailEnd type="none" w="med" len="med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ADICIONAR </a:t>
          </a:r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MAGNAFLUX</a:t>
          </a:r>
        </a:p>
      </xdr:txBody>
    </xdr:sp>
    <xdr:clientData/>
  </xdr:twoCellAnchor>
  <xdr:twoCellAnchor>
    <xdr:from>
      <xdr:col>17</xdr:col>
      <xdr:colOff>44824</xdr:colOff>
      <xdr:row>6</xdr:row>
      <xdr:rowOff>55407</xdr:rowOff>
    </xdr:from>
    <xdr:to>
      <xdr:col>19</xdr:col>
      <xdr:colOff>34241</xdr:colOff>
      <xdr:row>8</xdr:row>
      <xdr:rowOff>150657</xdr:rowOff>
    </xdr:to>
    <xdr:sp macro="[0]!ADC_JATEAR" textlink="">
      <xdr:nvSpPr>
        <xdr:cNvPr id="12" name="Retângulo de cantos arredondados 11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/>
      </xdr:nvSpPr>
      <xdr:spPr bwMode="auto">
        <a:xfrm>
          <a:off x="13671177" y="1019113"/>
          <a:ext cx="1199652" cy="409015"/>
        </a:xfrm>
        <a:prstGeom prst="roundRect">
          <a:avLst/>
        </a:prstGeom>
        <a:solidFill>
          <a:srgbClr val="0070C0"/>
        </a:solidFill>
        <a:ln>
          <a:noFill/>
          <a:headEnd type="none" w="med" len="med"/>
          <a:tailEnd type="none" w="med" len="med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ADICIONAR </a:t>
          </a:r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JATEAR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627529</xdr:colOff>
      <xdr:row>2</xdr:row>
      <xdr:rowOff>4482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27529" cy="32945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875031</xdr:colOff>
      <xdr:row>2</xdr:row>
      <xdr:rowOff>47314</xdr:rowOff>
    </xdr:from>
    <xdr:to>
      <xdr:col>12</xdr:col>
      <xdr:colOff>19678</xdr:colOff>
      <xdr:row>3</xdr:row>
      <xdr:rowOff>106432</xdr:rowOff>
    </xdr:to>
    <xdr:sp macro="[0]!PRE_PROJETO" textlink="">
      <xdr:nvSpPr>
        <xdr:cNvPr id="12" name="Bisel 11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SpPr/>
      </xdr:nvSpPr>
      <xdr:spPr bwMode="auto">
        <a:xfrm>
          <a:off x="8394178" y="372285"/>
          <a:ext cx="198000" cy="216000"/>
        </a:xfrm>
        <a:prstGeom prst="bevel">
          <a:avLst/>
        </a:prstGeom>
        <a:noFill/>
        <a:ln w="6350"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559669</xdr:colOff>
      <xdr:row>2</xdr:row>
      <xdr:rowOff>42334</xdr:rowOff>
    </xdr:from>
    <xdr:to>
      <xdr:col>15</xdr:col>
      <xdr:colOff>18081</xdr:colOff>
      <xdr:row>3</xdr:row>
      <xdr:rowOff>99584</xdr:rowOff>
    </xdr:to>
    <xdr:sp macro="[0]!PRODUÇÃO" textlink="">
      <xdr:nvSpPr>
        <xdr:cNvPr id="9" name="Bisel 8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 bwMode="auto">
        <a:xfrm>
          <a:off x="11246719" y="375709"/>
          <a:ext cx="201362" cy="219175"/>
        </a:xfrm>
        <a:prstGeom prst="bevel">
          <a:avLst/>
        </a:prstGeom>
        <a:noFill/>
        <a:ln w="6350"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432670</xdr:colOff>
      <xdr:row>2</xdr:row>
      <xdr:rowOff>42334</xdr:rowOff>
    </xdr:from>
    <xdr:to>
      <xdr:col>9</xdr:col>
      <xdr:colOff>25552</xdr:colOff>
      <xdr:row>3</xdr:row>
      <xdr:rowOff>99584</xdr:rowOff>
    </xdr:to>
    <xdr:sp macro="[0]!PROTÓTIPO" textlink="">
      <xdr:nvSpPr>
        <xdr:cNvPr id="13" name="Bisel 12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SpPr/>
      </xdr:nvSpPr>
      <xdr:spPr bwMode="auto">
        <a:xfrm>
          <a:off x="5690470" y="375709"/>
          <a:ext cx="202482" cy="219175"/>
        </a:xfrm>
        <a:prstGeom prst="bevel">
          <a:avLst/>
        </a:prstGeom>
        <a:noFill/>
        <a:ln w="6350"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33618</xdr:colOff>
      <xdr:row>0</xdr:row>
      <xdr:rowOff>67235</xdr:rowOff>
    </xdr:from>
    <xdr:to>
      <xdr:col>19</xdr:col>
      <xdr:colOff>23035</xdr:colOff>
      <xdr:row>2</xdr:row>
      <xdr:rowOff>150034</xdr:rowOff>
    </xdr:to>
    <xdr:sp macro="[0]!ADC_PROCESSO" textlink="">
      <xdr:nvSpPr>
        <xdr:cNvPr id="11" name="Retângulo de cantos arredondados 10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SpPr/>
      </xdr:nvSpPr>
      <xdr:spPr bwMode="auto">
        <a:xfrm>
          <a:off x="13424647" y="67235"/>
          <a:ext cx="1199653" cy="407770"/>
        </a:xfrm>
        <a:prstGeom prst="roundRect">
          <a:avLst/>
        </a:prstGeom>
        <a:solidFill>
          <a:srgbClr val="0070C0"/>
        </a:solidFill>
        <a:ln>
          <a:noFill/>
          <a:headEnd type="none" w="med" len="med"/>
          <a:tailEnd type="none" w="med" len="med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ADICIONAR </a:t>
          </a:r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PROCESSO</a:t>
          </a:r>
        </a:p>
      </xdr:txBody>
    </xdr:sp>
    <xdr:clientData/>
  </xdr:twoCellAnchor>
  <xdr:twoCellAnchor>
    <xdr:from>
      <xdr:col>17</xdr:col>
      <xdr:colOff>33618</xdr:colOff>
      <xdr:row>3</xdr:row>
      <xdr:rowOff>75327</xdr:rowOff>
    </xdr:from>
    <xdr:to>
      <xdr:col>19</xdr:col>
      <xdr:colOff>23034</xdr:colOff>
      <xdr:row>5</xdr:row>
      <xdr:rowOff>114548</xdr:rowOff>
    </xdr:to>
    <xdr:sp macro="[0]!ADC_MAGNAFLUX" textlink="">
      <xdr:nvSpPr>
        <xdr:cNvPr id="14" name="Retângulo de cantos arredondados 13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SpPr/>
      </xdr:nvSpPr>
      <xdr:spPr bwMode="auto">
        <a:xfrm>
          <a:off x="13424647" y="557180"/>
          <a:ext cx="1199652" cy="409015"/>
        </a:xfrm>
        <a:prstGeom prst="roundRect">
          <a:avLst/>
        </a:prstGeom>
        <a:solidFill>
          <a:srgbClr val="0070C0"/>
        </a:solidFill>
        <a:ln>
          <a:noFill/>
          <a:headEnd type="none" w="med" len="med"/>
          <a:tailEnd type="none" w="med" len="med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ADICIONAR </a:t>
          </a:r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MAGNAFLUX</a:t>
          </a:r>
        </a:p>
      </xdr:txBody>
    </xdr:sp>
    <xdr:clientData/>
  </xdr:twoCellAnchor>
  <xdr:twoCellAnchor>
    <xdr:from>
      <xdr:col>17</xdr:col>
      <xdr:colOff>33618</xdr:colOff>
      <xdr:row>6</xdr:row>
      <xdr:rowOff>28635</xdr:rowOff>
    </xdr:from>
    <xdr:to>
      <xdr:col>19</xdr:col>
      <xdr:colOff>23034</xdr:colOff>
      <xdr:row>8</xdr:row>
      <xdr:rowOff>56650</xdr:rowOff>
    </xdr:to>
    <xdr:sp macro="[0]!ADC_JATEAR" textlink="">
      <xdr:nvSpPr>
        <xdr:cNvPr id="15" name="Retângulo de cantos arredondados 14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SpPr/>
      </xdr:nvSpPr>
      <xdr:spPr bwMode="auto">
        <a:xfrm>
          <a:off x="13424647" y="1048370"/>
          <a:ext cx="1199652" cy="409015"/>
        </a:xfrm>
        <a:prstGeom prst="roundRect">
          <a:avLst/>
        </a:prstGeom>
        <a:solidFill>
          <a:srgbClr val="0070C0"/>
        </a:solidFill>
        <a:ln>
          <a:noFill/>
          <a:headEnd type="none" w="med" len="med"/>
          <a:tailEnd type="none" w="med" len="med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ADICIONAR </a:t>
          </a:r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JATEAR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627529</xdr:colOff>
      <xdr:row>2</xdr:row>
      <xdr:rowOff>4482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27529" cy="32945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190502</xdr:colOff>
      <xdr:row>12</xdr:row>
      <xdr:rowOff>107673</xdr:rowOff>
    </xdr:from>
    <xdr:to>
      <xdr:col>6</xdr:col>
      <xdr:colOff>571500</xdr:colOff>
      <xdr:row>14</xdr:row>
      <xdr:rowOff>82826</xdr:rowOff>
    </xdr:to>
    <xdr:sp macro="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 bwMode="auto">
        <a:xfrm>
          <a:off x="1772480" y="2145195"/>
          <a:ext cx="1010477" cy="281609"/>
        </a:xfrm>
        <a:prstGeom prst="roundRect">
          <a:avLst/>
        </a:prstGeom>
        <a:solidFill>
          <a:srgbClr val="0070C0"/>
        </a:solidFill>
        <a:ln>
          <a:noFill/>
          <a:headEnd type="none" w="med" len="med"/>
          <a:tailEnd type="none" w="med" len="med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pt-BR" sz="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ADICIONAR PROCESSO</a:t>
          </a:r>
        </a:p>
      </xdr:txBody>
    </xdr:sp>
    <xdr:clientData/>
  </xdr:twoCellAnchor>
  <xdr:twoCellAnchor>
    <xdr:from>
      <xdr:col>11</xdr:col>
      <xdr:colOff>157784</xdr:colOff>
      <xdr:row>23</xdr:row>
      <xdr:rowOff>132522</xdr:rowOff>
    </xdr:from>
    <xdr:to>
      <xdr:col>12</xdr:col>
      <xdr:colOff>348284</xdr:colOff>
      <xdr:row>25</xdr:row>
      <xdr:rowOff>57980</xdr:rowOff>
    </xdr:to>
    <xdr:sp macro="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/>
      </xdr:nvSpPr>
      <xdr:spPr bwMode="auto">
        <a:xfrm>
          <a:off x="6815759" y="3694872"/>
          <a:ext cx="847725" cy="249308"/>
        </a:xfrm>
        <a:prstGeom prst="roundRect">
          <a:avLst/>
        </a:prstGeom>
        <a:solidFill>
          <a:srgbClr val="C00000"/>
        </a:solidFill>
        <a:ln>
          <a:noFill/>
          <a:headEnd type="none" w="med" len="med"/>
          <a:tailEnd type="none" w="med" len="med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pt-BR" sz="700" b="1" i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EIME's</a:t>
          </a:r>
          <a:r>
            <a:rPr lang="pt-BR" sz="700" b="1" i="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/ CÓPIA CONTROLADA</a:t>
          </a:r>
          <a:endParaRPr lang="pt-BR" sz="700" b="1" i="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236123</xdr:colOff>
      <xdr:row>34</xdr:row>
      <xdr:rowOff>40820</xdr:rowOff>
    </xdr:from>
    <xdr:to>
      <xdr:col>24</xdr:col>
      <xdr:colOff>526677</xdr:colOff>
      <xdr:row>58</xdr:row>
      <xdr:rowOff>31736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xmlns="" id="{00000000-0008-0000-0700-00001B000000}"/>
            </a:ext>
          </a:extLst>
        </xdr:cNvPr>
        <xdr:cNvGrpSpPr/>
      </xdr:nvGrpSpPr>
      <xdr:grpSpPr>
        <a:xfrm>
          <a:off x="17952623" y="6954849"/>
          <a:ext cx="6431378" cy="4562916"/>
          <a:chOff x="14680507" y="2797468"/>
          <a:chExt cx="7889920" cy="4932710"/>
        </a:xfrm>
      </xdr:grpSpPr>
      <xdr:pic>
        <xdr:nvPicPr>
          <xdr:cNvPr id="28" name="Imagem 27">
            <a:extLst>
              <a:ext uri="{FF2B5EF4-FFF2-40B4-BE49-F238E27FC236}">
                <a16:creationId xmlns:a16="http://schemas.microsoft.com/office/drawing/2014/main" xmlns="" id="{00000000-0008-0000-0700-00001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r="61841"/>
          <a:stretch/>
        </xdr:blipFill>
        <xdr:spPr>
          <a:xfrm>
            <a:off x="14680507" y="2797468"/>
            <a:ext cx="4683258" cy="4932710"/>
          </a:xfrm>
          <a:prstGeom prst="rect">
            <a:avLst/>
          </a:prstGeom>
        </xdr:spPr>
      </xdr:pic>
      <xdr:cxnSp macro="">
        <xdr:nvCxnSpPr>
          <xdr:cNvPr id="29" name="Conector de seta reta 28">
            <a:extLst>
              <a:ext uri="{FF2B5EF4-FFF2-40B4-BE49-F238E27FC236}">
                <a16:creationId xmlns:a16="http://schemas.microsoft.com/office/drawing/2014/main" xmlns="" id="{00000000-0008-0000-0700-00001D000000}"/>
              </a:ext>
            </a:extLst>
          </xdr:cNvPr>
          <xdr:cNvCxnSpPr/>
        </xdr:nvCxnSpPr>
        <xdr:spPr bwMode="auto">
          <a:xfrm flipH="1">
            <a:off x="18075888" y="4203806"/>
            <a:ext cx="721180" cy="0"/>
          </a:xfrm>
          <a:prstGeom prst="straightConnector1">
            <a:avLst/>
          </a:prstGeom>
          <a:solidFill>
            <a:srgbClr val="090000"/>
          </a:solidFill>
          <a:ln w="57150" cap="flat" cmpd="sng" algn="ctr">
            <a:solidFill>
              <a:srgbClr val="FF0000"/>
            </a:solidFill>
            <a:prstDash val="solid"/>
            <a:round/>
            <a:headEnd type="none" w="med" len="med"/>
            <a:tailEnd type="triangle"/>
          </a:ln>
          <a:effectLst/>
        </xdr:spPr>
      </xdr:cxnSp>
      <xdr:pic>
        <xdr:nvPicPr>
          <xdr:cNvPr id="30" name="Imagem 29">
            <a:extLst>
              <a:ext uri="{FF2B5EF4-FFF2-40B4-BE49-F238E27FC236}">
                <a16:creationId xmlns:a16="http://schemas.microsoft.com/office/drawing/2014/main" xmlns="" id="{00000000-0008-0000-07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0802919" y="3605093"/>
            <a:ext cx="1767508" cy="1276190"/>
          </a:xfrm>
          <a:prstGeom prst="rect">
            <a:avLst/>
          </a:prstGeom>
        </xdr:spPr>
      </xdr:pic>
      <xdr:sp macro="" textlink="">
        <xdr:nvSpPr>
          <xdr:cNvPr id="31" name="Seta para a direita 30">
            <a:extLst>
              <a:ext uri="{FF2B5EF4-FFF2-40B4-BE49-F238E27FC236}">
                <a16:creationId xmlns:a16="http://schemas.microsoft.com/office/drawing/2014/main" xmlns="" id="{00000000-0008-0000-0700-00001F000000}"/>
              </a:ext>
            </a:extLst>
          </xdr:cNvPr>
          <xdr:cNvSpPr/>
        </xdr:nvSpPr>
        <xdr:spPr bwMode="auto">
          <a:xfrm>
            <a:off x="19659920" y="4108556"/>
            <a:ext cx="816428" cy="612322"/>
          </a:xfrm>
          <a:prstGeom prst="rightArrow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pt-BR" sz="1100"/>
          </a:p>
        </xdr:txBody>
      </xdr:sp>
      <xdr:cxnSp macro="">
        <xdr:nvCxnSpPr>
          <xdr:cNvPr id="32" name="Conector de seta reta 31">
            <a:extLst>
              <a:ext uri="{FF2B5EF4-FFF2-40B4-BE49-F238E27FC236}">
                <a16:creationId xmlns:a16="http://schemas.microsoft.com/office/drawing/2014/main" xmlns="" id="{00000000-0008-0000-0700-000020000000}"/>
              </a:ext>
            </a:extLst>
          </xdr:cNvPr>
          <xdr:cNvCxnSpPr/>
        </xdr:nvCxnSpPr>
        <xdr:spPr bwMode="auto">
          <a:xfrm flipH="1">
            <a:off x="21641278" y="4696385"/>
            <a:ext cx="721180" cy="0"/>
          </a:xfrm>
          <a:prstGeom prst="straightConnector1">
            <a:avLst/>
          </a:prstGeom>
          <a:solidFill>
            <a:srgbClr val="090000"/>
          </a:solidFill>
          <a:ln w="57150" cap="flat" cmpd="sng" algn="ctr">
            <a:solidFill>
              <a:srgbClr val="FF0000"/>
            </a:solidFill>
            <a:prstDash val="solid"/>
            <a:round/>
            <a:headEnd type="none" w="med" len="med"/>
            <a:tailEnd type="triangle"/>
          </a:ln>
          <a:effectLst/>
        </xdr:spPr>
      </xdr:cxnSp>
      <xdr:cxnSp macro="">
        <xdr:nvCxnSpPr>
          <xdr:cNvPr id="33" name="Conector de seta reta 32">
            <a:extLst>
              <a:ext uri="{FF2B5EF4-FFF2-40B4-BE49-F238E27FC236}">
                <a16:creationId xmlns:a16="http://schemas.microsoft.com/office/drawing/2014/main" xmlns="" id="{00000000-0008-0000-0700-000021000000}"/>
              </a:ext>
            </a:extLst>
          </xdr:cNvPr>
          <xdr:cNvCxnSpPr/>
        </xdr:nvCxnSpPr>
        <xdr:spPr bwMode="auto">
          <a:xfrm flipH="1">
            <a:off x="15891060" y="6671822"/>
            <a:ext cx="717979" cy="0"/>
          </a:xfrm>
          <a:prstGeom prst="straightConnector1">
            <a:avLst/>
          </a:prstGeom>
          <a:solidFill>
            <a:srgbClr val="090000"/>
          </a:solidFill>
          <a:ln w="57150" cap="flat" cmpd="sng" algn="ctr">
            <a:solidFill>
              <a:srgbClr val="FF0000"/>
            </a:solidFill>
            <a:prstDash val="solid"/>
            <a:round/>
            <a:headEnd type="none" w="med" len="med"/>
            <a:tailEnd type="triangle"/>
          </a:ln>
          <a:effectLst/>
        </xdr:spPr>
      </xdr:cxnSp>
      <xdr:sp macro="" textlink="">
        <xdr:nvSpPr>
          <xdr:cNvPr id="34" name="Fluxograma: Processo 33">
            <a:extLst>
              <a:ext uri="{FF2B5EF4-FFF2-40B4-BE49-F238E27FC236}">
                <a16:creationId xmlns:a16="http://schemas.microsoft.com/office/drawing/2014/main" xmlns="" id="{00000000-0008-0000-0700-000022000000}"/>
              </a:ext>
            </a:extLst>
          </xdr:cNvPr>
          <xdr:cNvSpPr/>
        </xdr:nvSpPr>
        <xdr:spPr bwMode="auto">
          <a:xfrm>
            <a:off x="18448912" y="3480280"/>
            <a:ext cx="416565" cy="618891"/>
          </a:xfrm>
          <a:prstGeom prst="flowChartProcess">
            <a:avLst/>
          </a:prstGeom>
          <a:solidFill>
            <a:schemeClr val="bg1"/>
          </a:solidFill>
          <a:ln w="19050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pPr algn="l"/>
            <a:r>
              <a:rPr lang="pt-BR" sz="4000"/>
              <a:t>2</a:t>
            </a:r>
          </a:p>
        </xdr:txBody>
      </xdr:sp>
      <xdr:sp macro="" textlink="">
        <xdr:nvSpPr>
          <xdr:cNvPr id="35" name="Fluxograma: Processo 34">
            <a:extLst>
              <a:ext uri="{FF2B5EF4-FFF2-40B4-BE49-F238E27FC236}">
                <a16:creationId xmlns:a16="http://schemas.microsoft.com/office/drawing/2014/main" xmlns="" id="{00000000-0008-0000-0700-000023000000}"/>
              </a:ext>
            </a:extLst>
          </xdr:cNvPr>
          <xdr:cNvSpPr/>
        </xdr:nvSpPr>
        <xdr:spPr bwMode="auto">
          <a:xfrm>
            <a:off x="16105585" y="5920237"/>
            <a:ext cx="402194" cy="625929"/>
          </a:xfrm>
          <a:prstGeom prst="flowChartProcess">
            <a:avLst/>
          </a:prstGeom>
          <a:solidFill>
            <a:schemeClr val="bg1"/>
          </a:solidFill>
          <a:ln w="19050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pPr algn="l"/>
            <a:r>
              <a:rPr lang="pt-BR" sz="4000"/>
              <a:t>1</a:t>
            </a:r>
          </a:p>
        </xdr:txBody>
      </xdr:sp>
      <xdr:sp macro="" textlink="">
        <xdr:nvSpPr>
          <xdr:cNvPr id="36" name="Fluxograma: Processo 35">
            <a:extLst>
              <a:ext uri="{FF2B5EF4-FFF2-40B4-BE49-F238E27FC236}">
                <a16:creationId xmlns:a16="http://schemas.microsoft.com/office/drawing/2014/main" xmlns="" id="{00000000-0008-0000-0700-000024000000}"/>
              </a:ext>
            </a:extLst>
          </xdr:cNvPr>
          <xdr:cNvSpPr/>
        </xdr:nvSpPr>
        <xdr:spPr bwMode="auto">
          <a:xfrm>
            <a:off x="21970759" y="4786565"/>
            <a:ext cx="439283" cy="625929"/>
          </a:xfrm>
          <a:prstGeom prst="flowChartProcess">
            <a:avLst/>
          </a:prstGeom>
          <a:solidFill>
            <a:schemeClr val="bg1"/>
          </a:solidFill>
          <a:ln w="19050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pPr algn="l"/>
            <a:r>
              <a:rPr lang="pt-BR" sz="4000"/>
              <a:t>3</a:t>
            </a:r>
          </a:p>
        </xdr:txBody>
      </xdr:sp>
    </xdr:grpSp>
    <xdr:clientData/>
  </xdr:twoCellAnchor>
  <xdr:twoCellAnchor>
    <xdr:from>
      <xdr:col>19</xdr:col>
      <xdr:colOff>201705</xdr:colOff>
      <xdr:row>62</xdr:row>
      <xdr:rowOff>123265</xdr:rowOff>
    </xdr:from>
    <xdr:to>
      <xdr:col>24</xdr:col>
      <xdr:colOff>829236</xdr:colOff>
      <xdr:row>87</xdr:row>
      <xdr:rowOff>17908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xmlns="" id="{00000000-0008-0000-0700-000025000000}"/>
            </a:ext>
          </a:extLst>
        </xdr:cNvPr>
        <xdr:cNvGrpSpPr/>
      </xdr:nvGrpSpPr>
      <xdr:grpSpPr>
        <a:xfrm>
          <a:off x="17918205" y="12371294"/>
          <a:ext cx="6768355" cy="4657143"/>
          <a:chOff x="14500412" y="8057029"/>
          <a:chExt cx="7923220" cy="4657143"/>
        </a:xfrm>
      </xdr:grpSpPr>
      <xdr:pic>
        <xdr:nvPicPr>
          <xdr:cNvPr id="38" name="Imagem 37">
            <a:extLst>
              <a:ext uri="{FF2B5EF4-FFF2-40B4-BE49-F238E27FC236}">
                <a16:creationId xmlns:a16="http://schemas.microsoft.com/office/drawing/2014/main" xmlns="" id="{00000000-0008-0000-07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4500412" y="8057029"/>
            <a:ext cx="4533333" cy="4657143"/>
          </a:xfrm>
          <a:prstGeom prst="rect">
            <a:avLst/>
          </a:prstGeom>
        </xdr:spPr>
      </xdr:pic>
      <xdr:cxnSp macro="">
        <xdr:nvCxnSpPr>
          <xdr:cNvPr id="39" name="Conector de seta reta 38">
            <a:extLst>
              <a:ext uri="{FF2B5EF4-FFF2-40B4-BE49-F238E27FC236}">
                <a16:creationId xmlns:a16="http://schemas.microsoft.com/office/drawing/2014/main" xmlns="" id="{00000000-0008-0000-0700-000027000000}"/>
              </a:ext>
            </a:extLst>
          </xdr:cNvPr>
          <xdr:cNvCxnSpPr/>
        </xdr:nvCxnSpPr>
        <xdr:spPr bwMode="auto">
          <a:xfrm flipH="1">
            <a:off x="17155887" y="9419290"/>
            <a:ext cx="721180" cy="0"/>
          </a:xfrm>
          <a:prstGeom prst="straightConnector1">
            <a:avLst/>
          </a:prstGeom>
          <a:solidFill>
            <a:srgbClr val="090000"/>
          </a:solidFill>
          <a:ln w="57150" cap="flat" cmpd="sng" algn="ctr">
            <a:solidFill>
              <a:srgbClr val="FF0000"/>
            </a:solidFill>
            <a:prstDash val="solid"/>
            <a:round/>
            <a:headEnd type="none" w="med" len="med"/>
            <a:tailEnd type="triangle"/>
          </a:ln>
          <a:effectLst/>
        </xdr:spPr>
      </xdr:cxnSp>
      <xdr:pic>
        <xdr:nvPicPr>
          <xdr:cNvPr id="40" name="Imagem 39">
            <a:extLst>
              <a:ext uri="{FF2B5EF4-FFF2-40B4-BE49-F238E27FC236}">
                <a16:creationId xmlns:a16="http://schemas.microsoft.com/office/drawing/2014/main" xmlns="" id="{00000000-0008-0000-07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0656124" y="8775753"/>
            <a:ext cx="1767508" cy="1276190"/>
          </a:xfrm>
          <a:prstGeom prst="rect">
            <a:avLst/>
          </a:prstGeom>
        </xdr:spPr>
      </xdr:pic>
      <xdr:sp macro="" textlink="">
        <xdr:nvSpPr>
          <xdr:cNvPr id="41" name="Seta para a direita 40">
            <a:extLst>
              <a:ext uri="{FF2B5EF4-FFF2-40B4-BE49-F238E27FC236}">
                <a16:creationId xmlns:a16="http://schemas.microsoft.com/office/drawing/2014/main" xmlns="" id="{00000000-0008-0000-0700-000029000000}"/>
              </a:ext>
            </a:extLst>
          </xdr:cNvPr>
          <xdr:cNvSpPr/>
        </xdr:nvSpPr>
        <xdr:spPr bwMode="auto">
          <a:xfrm>
            <a:off x="19468301" y="9211981"/>
            <a:ext cx="816428" cy="612322"/>
          </a:xfrm>
          <a:prstGeom prst="rightArrow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pt-BR" sz="1100"/>
          </a:p>
        </xdr:txBody>
      </xdr:sp>
      <xdr:cxnSp macro="">
        <xdr:nvCxnSpPr>
          <xdr:cNvPr id="42" name="Conector de seta reta 41">
            <a:extLst>
              <a:ext uri="{FF2B5EF4-FFF2-40B4-BE49-F238E27FC236}">
                <a16:creationId xmlns:a16="http://schemas.microsoft.com/office/drawing/2014/main" xmlns="" id="{00000000-0008-0000-0700-00002A000000}"/>
              </a:ext>
            </a:extLst>
          </xdr:cNvPr>
          <xdr:cNvCxnSpPr/>
        </xdr:nvCxnSpPr>
        <xdr:spPr bwMode="auto">
          <a:xfrm flipH="1">
            <a:off x="21449659" y="9855840"/>
            <a:ext cx="721180" cy="0"/>
          </a:xfrm>
          <a:prstGeom prst="straightConnector1">
            <a:avLst/>
          </a:prstGeom>
          <a:solidFill>
            <a:srgbClr val="090000"/>
          </a:solidFill>
          <a:ln w="57150" cap="flat" cmpd="sng" algn="ctr">
            <a:solidFill>
              <a:srgbClr val="FF0000"/>
            </a:solidFill>
            <a:prstDash val="solid"/>
            <a:round/>
            <a:headEnd type="none" w="med" len="med"/>
            <a:tailEnd type="triangle"/>
          </a:ln>
          <a:effectLst/>
        </xdr:spPr>
      </xdr:cxnSp>
      <xdr:cxnSp macro="">
        <xdr:nvCxnSpPr>
          <xdr:cNvPr id="43" name="Conector de seta reta 42">
            <a:extLst>
              <a:ext uri="{FF2B5EF4-FFF2-40B4-BE49-F238E27FC236}">
                <a16:creationId xmlns:a16="http://schemas.microsoft.com/office/drawing/2014/main" xmlns="" id="{00000000-0008-0000-0700-00002B000000}"/>
              </a:ext>
            </a:extLst>
          </xdr:cNvPr>
          <xdr:cNvCxnSpPr/>
        </xdr:nvCxnSpPr>
        <xdr:spPr bwMode="auto">
          <a:xfrm flipH="1">
            <a:off x="14971059" y="11887306"/>
            <a:ext cx="717979" cy="0"/>
          </a:xfrm>
          <a:prstGeom prst="straightConnector1">
            <a:avLst/>
          </a:prstGeom>
          <a:solidFill>
            <a:srgbClr val="090000"/>
          </a:solidFill>
          <a:ln w="57150" cap="flat" cmpd="sng" algn="ctr">
            <a:solidFill>
              <a:srgbClr val="FF0000"/>
            </a:solidFill>
            <a:prstDash val="solid"/>
            <a:round/>
            <a:headEnd type="none" w="med" len="med"/>
            <a:tailEnd type="triangle"/>
          </a:ln>
          <a:effectLst/>
        </xdr:spPr>
      </xdr:cxnSp>
      <xdr:sp macro="" textlink="">
        <xdr:nvSpPr>
          <xdr:cNvPr id="44" name="Fluxograma: Processo 43">
            <a:extLst>
              <a:ext uri="{FF2B5EF4-FFF2-40B4-BE49-F238E27FC236}">
                <a16:creationId xmlns:a16="http://schemas.microsoft.com/office/drawing/2014/main" xmlns="" id="{00000000-0008-0000-0700-00002C000000}"/>
              </a:ext>
            </a:extLst>
          </xdr:cNvPr>
          <xdr:cNvSpPr/>
        </xdr:nvSpPr>
        <xdr:spPr bwMode="auto">
          <a:xfrm>
            <a:off x="17528910" y="8695764"/>
            <a:ext cx="449135" cy="618891"/>
          </a:xfrm>
          <a:prstGeom prst="flowChartProcess">
            <a:avLst/>
          </a:prstGeom>
          <a:solidFill>
            <a:schemeClr val="bg1"/>
          </a:solidFill>
          <a:ln w="19050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pPr algn="l"/>
            <a:r>
              <a:rPr lang="pt-BR" sz="4000"/>
              <a:t>2</a:t>
            </a:r>
          </a:p>
        </xdr:txBody>
      </xdr:sp>
      <xdr:sp macro="" textlink="">
        <xdr:nvSpPr>
          <xdr:cNvPr id="45" name="Fluxograma: Processo 44">
            <a:extLst>
              <a:ext uri="{FF2B5EF4-FFF2-40B4-BE49-F238E27FC236}">
                <a16:creationId xmlns:a16="http://schemas.microsoft.com/office/drawing/2014/main" xmlns="" id="{00000000-0008-0000-0700-00002D000000}"/>
              </a:ext>
            </a:extLst>
          </xdr:cNvPr>
          <xdr:cNvSpPr/>
        </xdr:nvSpPr>
        <xdr:spPr bwMode="auto">
          <a:xfrm>
            <a:off x="15185585" y="11135721"/>
            <a:ext cx="485348" cy="625929"/>
          </a:xfrm>
          <a:prstGeom prst="flowChartProcess">
            <a:avLst/>
          </a:prstGeom>
          <a:solidFill>
            <a:schemeClr val="bg1"/>
          </a:solidFill>
          <a:ln w="19050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pPr algn="l"/>
            <a:r>
              <a:rPr lang="pt-BR" sz="4000"/>
              <a:t>1</a:t>
            </a:r>
          </a:p>
        </xdr:txBody>
      </xdr:sp>
      <xdr:sp macro="" textlink="">
        <xdr:nvSpPr>
          <xdr:cNvPr id="46" name="Fluxograma: Processo 45">
            <a:extLst>
              <a:ext uri="{FF2B5EF4-FFF2-40B4-BE49-F238E27FC236}">
                <a16:creationId xmlns:a16="http://schemas.microsoft.com/office/drawing/2014/main" xmlns="" id="{00000000-0008-0000-0700-00002E000000}"/>
              </a:ext>
            </a:extLst>
          </xdr:cNvPr>
          <xdr:cNvSpPr/>
        </xdr:nvSpPr>
        <xdr:spPr bwMode="auto">
          <a:xfrm>
            <a:off x="21801553" y="9957225"/>
            <a:ext cx="451437" cy="625929"/>
          </a:xfrm>
          <a:prstGeom prst="flowChartProcess">
            <a:avLst/>
          </a:prstGeom>
          <a:solidFill>
            <a:schemeClr val="bg1"/>
          </a:solidFill>
          <a:ln w="19050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pPr algn="l"/>
            <a:r>
              <a:rPr lang="pt-BR" sz="4000"/>
              <a:t>3</a:t>
            </a:r>
          </a:p>
        </xdr:txBody>
      </xdr:sp>
    </xdr:grpSp>
    <xdr:clientData/>
  </xdr:twoCellAnchor>
  <xdr:oneCellAnchor>
    <xdr:from>
      <xdr:col>19</xdr:col>
      <xdr:colOff>74273</xdr:colOff>
      <xdr:row>26</xdr:row>
      <xdr:rowOff>57978</xdr:rowOff>
    </xdr:from>
    <xdr:ext cx="10157362" cy="914286"/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7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585403" y="5458239"/>
          <a:ext cx="10157362" cy="914286"/>
        </a:xfrm>
        <a:prstGeom prst="rect">
          <a:avLst/>
        </a:prstGeom>
      </xdr:spPr>
    </xdr:pic>
    <xdr:clientData/>
  </xdr:oneCellAnchor>
  <xdr:twoCellAnchor editAs="oneCell">
    <xdr:from>
      <xdr:col>20</xdr:col>
      <xdr:colOff>317662</xdr:colOff>
      <xdr:row>34</xdr:row>
      <xdr:rowOff>41414</xdr:rowOff>
    </xdr:from>
    <xdr:to>
      <xdr:col>22</xdr:col>
      <xdr:colOff>150445</xdr:colOff>
      <xdr:row>35</xdr:row>
      <xdr:rowOff>31570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7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104314" y="6957392"/>
          <a:ext cx="3559957" cy="2552381"/>
        </a:xfrm>
        <a:prstGeom prst="rect">
          <a:avLst/>
        </a:prstGeom>
      </xdr:spPr>
    </xdr:pic>
    <xdr:clientData/>
  </xdr:twoCellAnchor>
  <xdr:twoCellAnchor editAs="oneCell">
    <xdr:from>
      <xdr:col>24</xdr:col>
      <xdr:colOff>130084</xdr:colOff>
      <xdr:row>31</xdr:row>
      <xdr:rowOff>33132</xdr:rowOff>
    </xdr:from>
    <xdr:to>
      <xdr:col>27</xdr:col>
      <xdr:colOff>568090</xdr:colOff>
      <xdr:row>32</xdr:row>
      <xdr:rowOff>20807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700-00003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r="16611" b="6158"/>
        <a:stretch/>
      </xdr:blipFill>
      <xdr:spPr>
        <a:xfrm>
          <a:off x="20770345" y="6377610"/>
          <a:ext cx="3469440" cy="3664325"/>
        </a:xfrm>
        <a:prstGeom prst="rect">
          <a:avLst/>
        </a:prstGeom>
      </xdr:spPr>
    </xdr:pic>
    <xdr:clientData/>
  </xdr:twoCellAnchor>
  <xdr:twoCellAnchor>
    <xdr:from>
      <xdr:col>20</xdr:col>
      <xdr:colOff>1411940</xdr:colOff>
      <xdr:row>91</xdr:row>
      <xdr:rowOff>145676</xdr:rowOff>
    </xdr:from>
    <xdr:to>
      <xdr:col>21</xdr:col>
      <xdr:colOff>121362</xdr:colOff>
      <xdr:row>94</xdr:row>
      <xdr:rowOff>186498</xdr:rowOff>
    </xdr:to>
    <xdr:sp macro="" textlink="">
      <xdr:nvSpPr>
        <xdr:cNvPr id="51" name="Seta para a direita 50">
          <a:extLst>
            <a:ext uri="{FF2B5EF4-FFF2-40B4-BE49-F238E27FC236}">
              <a16:creationId xmlns:a16="http://schemas.microsoft.com/office/drawing/2014/main" xmlns="" id="{00000000-0008-0000-0700-000033000000}"/>
            </a:ext>
          </a:extLst>
        </xdr:cNvPr>
        <xdr:cNvSpPr/>
      </xdr:nvSpPr>
      <xdr:spPr bwMode="auto">
        <a:xfrm>
          <a:off x="17189822" y="18489705"/>
          <a:ext cx="580805" cy="612322"/>
        </a:xfrm>
        <a:prstGeom prst="rightArrow">
          <a:avLst/>
        </a:prstGeom>
        <a:solidFill>
          <a:schemeClr val="bg1"/>
        </a:solidFill>
        <a:ln w="2857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24</xdr:col>
      <xdr:colOff>582707</xdr:colOff>
      <xdr:row>94</xdr:row>
      <xdr:rowOff>33618</xdr:rowOff>
    </xdr:from>
    <xdr:to>
      <xdr:col>24</xdr:col>
      <xdr:colOff>1163512</xdr:colOff>
      <xdr:row>97</xdr:row>
      <xdr:rowOff>74440</xdr:rowOff>
    </xdr:to>
    <xdr:sp macro="" textlink="">
      <xdr:nvSpPr>
        <xdr:cNvPr id="52" name="Seta para a direita 51">
          <a:extLst>
            <a:ext uri="{FF2B5EF4-FFF2-40B4-BE49-F238E27FC236}">
              <a16:creationId xmlns:a16="http://schemas.microsoft.com/office/drawing/2014/main" xmlns="" id="{00000000-0008-0000-0700-000034000000}"/>
            </a:ext>
          </a:extLst>
        </xdr:cNvPr>
        <xdr:cNvSpPr/>
      </xdr:nvSpPr>
      <xdr:spPr bwMode="auto">
        <a:xfrm>
          <a:off x="21223942" y="18949147"/>
          <a:ext cx="580805" cy="612322"/>
        </a:xfrm>
        <a:prstGeom prst="rightArrow">
          <a:avLst/>
        </a:prstGeom>
        <a:solidFill>
          <a:schemeClr val="bg1"/>
        </a:solidFill>
        <a:ln w="2857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705972</xdr:colOff>
      <xdr:row>93</xdr:row>
      <xdr:rowOff>45615</xdr:rowOff>
    </xdr:from>
    <xdr:to>
      <xdr:col>20</xdr:col>
      <xdr:colOff>1216741</xdr:colOff>
      <xdr:row>93</xdr:row>
      <xdr:rowOff>45615</xdr:rowOff>
    </xdr:to>
    <xdr:cxnSp macro="">
      <xdr:nvCxnSpPr>
        <xdr:cNvPr id="55" name="Conector de seta reta 54">
          <a:extLst>
            <a:ext uri="{FF2B5EF4-FFF2-40B4-BE49-F238E27FC236}">
              <a16:creationId xmlns:a16="http://schemas.microsoft.com/office/drawing/2014/main" xmlns="" id="{00000000-0008-0000-0700-000037000000}"/>
            </a:ext>
          </a:extLst>
        </xdr:cNvPr>
        <xdr:cNvCxnSpPr/>
      </xdr:nvCxnSpPr>
      <xdr:spPr bwMode="auto">
        <a:xfrm flipH="1">
          <a:off x="16483854" y="18770644"/>
          <a:ext cx="510769" cy="0"/>
        </a:xfrm>
        <a:prstGeom prst="straightConnector1">
          <a:avLst/>
        </a:prstGeom>
        <a:solidFill>
          <a:srgbClr val="090000"/>
        </a:solidFill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20</xdr:col>
      <xdr:colOff>858585</xdr:colOff>
      <xdr:row>89</xdr:row>
      <xdr:rowOff>56030</xdr:rowOff>
    </xdr:from>
    <xdr:to>
      <xdr:col>20</xdr:col>
      <xdr:colOff>1203860</xdr:colOff>
      <xdr:row>92</xdr:row>
      <xdr:rowOff>110459</xdr:rowOff>
    </xdr:to>
    <xdr:sp macro="" textlink="">
      <xdr:nvSpPr>
        <xdr:cNvPr id="56" name="Fluxograma: Processo 55">
          <a:extLst>
            <a:ext uri="{FF2B5EF4-FFF2-40B4-BE49-F238E27FC236}">
              <a16:creationId xmlns:a16="http://schemas.microsoft.com/office/drawing/2014/main" xmlns="" id="{00000000-0008-0000-0700-000038000000}"/>
            </a:ext>
          </a:extLst>
        </xdr:cNvPr>
        <xdr:cNvSpPr/>
      </xdr:nvSpPr>
      <xdr:spPr bwMode="auto">
        <a:xfrm>
          <a:off x="16636467" y="18019059"/>
          <a:ext cx="345275" cy="625929"/>
        </a:xfrm>
        <a:prstGeom prst="flowChartProcess">
          <a:avLst/>
        </a:prstGeom>
        <a:solidFill>
          <a:schemeClr val="bg1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pt-BR" sz="4000"/>
            <a:t>1</a:t>
          </a:r>
        </a:p>
      </xdr:txBody>
    </xdr:sp>
    <xdr:clientData/>
  </xdr:twoCellAnchor>
  <xdr:twoCellAnchor>
    <xdr:from>
      <xdr:col>22</xdr:col>
      <xdr:colOff>398931</xdr:colOff>
      <xdr:row>100</xdr:row>
      <xdr:rowOff>108368</xdr:rowOff>
    </xdr:from>
    <xdr:to>
      <xdr:col>23</xdr:col>
      <xdr:colOff>338200</xdr:colOff>
      <xdr:row>100</xdr:row>
      <xdr:rowOff>108368</xdr:rowOff>
    </xdr:to>
    <xdr:cxnSp macro="">
      <xdr:nvCxnSpPr>
        <xdr:cNvPr id="57" name="Conector de seta reta 56">
          <a:extLst>
            <a:ext uri="{FF2B5EF4-FFF2-40B4-BE49-F238E27FC236}">
              <a16:creationId xmlns:a16="http://schemas.microsoft.com/office/drawing/2014/main" xmlns="" id="{00000000-0008-0000-0700-000039000000}"/>
            </a:ext>
          </a:extLst>
        </xdr:cNvPr>
        <xdr:cNvCxnSpPr/>
      </xdr:nvCxnSpPr>
      <xdr:spPr bwMode="auto">
        <a:xfrm flipH="1">
          <a:off x="19919578" y="20166897"/>
          <a:ext cx="510769" cy="0"/>
        </a:xfrm>
        <a:prstGeom prst="straightConnector1">
          <a:avLst/>
        </a:prstGeom>
        <a:solidFill>
          <a:srgbClr val="090000"/>
        </a:solidFill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22</xdr:col>
      <xdr:colOff>551544</xdr:colOff>
      <xdr:row>96</xdr:row>
      <xdr:rowOff>118783</xdr:rowOff>
    </xdr:from>
    <xdr:to>
      <xdr:col>23</xdr:col>
      <xdr:colOff>325319</xdr:colOff>
      <xdr:row>99</xdr:row>
      <xdr:rowOff>173212</xdr:rowOff>
    </xdr:to>
    <xdr:sp macro="" textlink="">
      <xdr:nvSpPr>
        <xdr:cNvPr id="58" name="Fluxograma: Processo 57">
          <a:extLst>
            <a:ext uri="{FF2B5EF4-FFF2-40B4-BE49-F238E27FC236}">
              <a16:creationId xmlns:a16="http://schemas.microsoft.com/office/drawing/2014/main" xmlns="" id="{00000000-0008-0000-0700-00003A000000}"/>
            </a:ext>
          </a:extLst>
        </xdr:cNvPr>
        <xdr:cNvSpPr/>
      </xdr:nvSpPr>
      <xdr:spPr bwMode="auto">
        <a:xfrm>
          <a:off x="20072191" y="19415312"/>
          <a:ext cx="345275" cy="625929"/>
        </a:xfrm>
        <a:prstGeom prst="flowChartProcess">
          <a:avLst/>
        </a:prstGeom>
        <a:solidFill>
          <a:schemeClr val="bg1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pt-BR" sz="4000"/>
            <a:t>3</a:t>
          </a:r>
        </a:p>
      </xdr:txBody>
    </xdr:sp>
    <xdr:clientData/>
  </xdr:twoCellAnchor>
  <xdr:twoCellAnchor>
    <xdr:from>
      <xdr:col>21</xdr:col>
      <xdr:colOff>1134249</xdr:colOff>
      <xdr:row>102</xdr:row>
      <xdr:rowOff>130780</xdr:rowOff>
    </xdr:from>
    <xdr:to>
      <xdr:col>21</xdr:col>
      <xdr:colOff>1645018</xdr:colOff>
      <xdr:row>102</xdr:row>
      <xdr:rowOff>130780</xdr:rowOff>
    </xdr:to>
    <xdr:cxnSp macro="">
      <xdr:nvCxnSpPr>
        <xdr:cNvPr id="59" name="Conector de seta reta 58">
          <a:extLst>
            <a:ext uri="{FF2B5EF4-FFF2-40B4-BE49-F238E27FC236}">
              <a16:creationId xmlns:a16="http://schemas.microsoft.com/office/drawing/2014/main" xmlns="" id="{00000000-0008-0000-0700-00003B000000}"/>
            </a:ext>
          </a:extLst>
        </xdr:cNvPr>
        <xdr:cNvCxnSpPr/>
      </xdr:nvCxnSpPr>
      <xdr:spPr bwMode="auto">
        <a:xfrm flipH="1">
          <a:off x="18783514" y="20570309"/>
          <a:ext cx="510769" cy="0"/>
        </a:xfrm>
        <a:prstGeom prst="straightConnector1">
          <a:avLst/>
        </a:prstGeom>
        <a:solidFill>
          <a:srgbClr val="090000"/>
        </a:solidFill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21</xdr:col>
      <xdr:colOff>1286862</xdr:colOff>
      <xdr:row>98</xdr:row>
      <xdr:rowOff>141195</xdr:rowOff>
    </xdr:from>
    <xdr:to>
      <xdr:col>21</xdr:col>
      <xdr:colOff>1632137</xdr:colOff>
      <xdr:row>102</xdr:row>
      <xdr:rowOff>5124</xdr:rowOff>
    </xdr:to>
    <xdr:sp macro="" textlink="">
      <xdr:nvSpPr>
        <xdr:cNvPr id="60" name="Fluxograma: Processo 59">
          <a:extLst>
            <a:ext uri="{FF2B5EF4-FFF2-40B4-BE49-F238E27FC236}">
              <a16:creationId xmlns:a16="http://schemas.microsoft.com/office/drawing/2014/main" xmlns="" id="{00000000-0008-0000-0700-00003C000000}"/>
            </a:ext>
          </a:extLst>
        </xdr:cNvPr>
        <xdr:cNvSpPr/>
      </xdr:nvSpPr>
      <xdr:spPr bwMode="auto">
        <a:xfrm>
          <a:off x="18936127" y="19818724"/>
          <a:ext cx="345275" cy="625929"/>
        </a:xfrm>
        <a:prstGeom prst="flowChartProcess">
          <a:avLst/>
        </a:prstGeom>
        <a:solidFill>
          <a:schemeClr val="bg1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pt-BR" sz="4000"/>
            <a:t>2</a:t>
          </a:r>
        </a:p>
      </xdr:txBody>
    </xdr:sp>
    <xdr:clientData/>
  </xdr:twoCellAnchor>
  <xdr:twoCellAnchor>
    <xdr:from>
      <xdr:col>27</xdr:col>
      <xdr:colOff>168086</xdr:colOff>
      <xdr:row>107</xdr:row>
      <xdr:rowOff>45613</xdr:rowOff>
    </xdr:from>
    <xdr:to>
      <xdr:col>27</xdr:col>
      <xdr:colOff>678855</xdr:colOff>
      <xdr:row>107</xdr:row>
      <xdr:rowOff>45613</xdr:rowOff>
    </xdr:to>
    <xdr:cxnSp macro="">
      <xdr:nvCxnSpPr>
        <xdr:cNvPr id="61" name="Conector de seta reta 60">
          <a:extLst>
            <a:ext uri="{FF2B5EF4-FFF2-40B4-BE49-F238E27FC236}">
              <a16:creationId xmlns:a16="http://schemas.microsoft.com/office/drawing/2014/main" xmlns="" id="{00000000-0008-0000-0700-00003D000000}"/>
            </a:ext>
          </a:extLst>
        </xdr:cNvPr>
        <xdr:cNvCxnSpPr/>
      </xdr:nvCxnSpPr>
      <xdr:spPr bwMode="auto">
        <a:xfrm flipH="1">
          <a:off x="23834910" y="21437642"/>
          <a:ext cx="510769" cy="0"/>
        </a:xfrm>
        <a:prstGeom prst="straightConnector1">
          <a:avLst/>
        </a:prstGeom>
        <a:solidFill>
          <a:srgbClr val="090000"/>
        </a:solidFill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27</xdr:col>
      <xdr:colOff>320699</xdr:colOff>
      <xdr:row>103</xdr:row>
      <xdr:rowOff>56028</xdr:rowOff>
    </xdr:from>
    <xdr:to>
      <xdr:col>27</xdr:col>
      <xdr:colOff>665974</xdr:colOff>
      <xdr:row>106</xdr:row>
      <xdr:rowOff>110457</xdr:rowOff>
    </xdr:to>
    <xdr:sp macro="" textlink="">
      <xdr:nvSpPr>
        <xdr:cNvPr id="62" name="Fluxograma: Processo 61">
          <a:extLst>
            <a:ext uri="{FF2B5EF4-FFF2-40B4-BE49-F238E27FC236}">
              <a16:creationId xmlns:a16="http://schemas.microsoft.com/office/drawing/2014/main" xmlns="" id="{00000000-0008-0000-0700-00003E000000}"/>
            </a:ext>
          </a:extLst>
        </xdr:cNvPr>
        <xdr:cNvSpPr/>
      </xdr:nvSpPr>
      <xdr:spPr bwMode="auto">
        <a:xfrm>
          <a:off x="23987523" y="20686057"/>
          <a:ext cx="345275" cy="625929"/>
        </a:xfrm>
        <a:prstGeom prst="flowChartProcess">
          <a:avLst/>
        </a:prstGeom>
        <a:solidFill>
          <a:schemeClr val="bg1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pt-BR" sz="4000"/>
            <a:t>4</a:t>
          </a:r>
        </a:p>
      </xdr:txBody>
    </xdr:sp>
    <xdr:clientData/>
  </xdr:twoCellAnchor>
  <xdr:twoCellAnchor editAs="oneCell">
    <xdr:from>
      <xdr:col>21</xdr:col>
      <xdr:colOff>928626</xdr:colOff>
      <xdr:row>31</xdr:row>
      <xdr:rowOff>8283</xdr:rowOff>
    </xdr:from>
    <xdr:to>
      <xdr:col>24</xdr:col>
      <xdr:colOff>1260465</xdr:colOff>
      <xdr:row>31</xdr:row>
      <xdr:rowOff>188763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xmlns="" id="{00000000-0008-0000-07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578865" y="6352761"/>
          <a:ext cx="3321861" cy="3961905"/>
        </a:xfrm>
        <a:prstGeom prst="rect">
          <a:avLst/>
        </a:prstGeom>
      </xdr:spPr>
    </xdr:pic>
    <xdr:clientData/>
  </xdr:twoCellAnchor>
  <xdr:twoCellAnchor>
    <xdr:from>
      <xdr:col>24</xdr:col>
      <xdr:colOff>891987</xdr:colOff>
      <xdr:row>106</xdr:row>
      <xdr:rowOff>41130</xdr:rowOff>
    </xdr:from>
    <xdr:to>
      <xdr:col>24</xdr:col>
      <xdr:colOff>1402756</xdr:colOff>
      <xdr:row>106</xdr:row>
      <xdr:rowOff>41130</xdr:rowOff>
    </xdr:to>
    <xdr:cxnSp macro="">
      <xdr:nvCxnSpPr>
        <xdr:cNvPr id="64" name="Conector de seta reta 63">
          <a:extLst>
            <a:ext uri="{FF2B5EF4-FFF2-40B4-BE49-F238E27FC236}">
              <a16:creationId xmlns:a16="http://schemas.microsoft.com/office/drawing/2014/main" xmlns="" id="{00000000-0008-0000-0700-000040000000}"/>
            </a:ext>
          </a:extLst>
        </xdr:cNvPr>
        <xdr:cNvCxnSpPr/>
      </xdr:nvCxnSpPr>
      <xdr:spPr bwMode="auto">
        <a:xfrm flipH="1">
          <a:off x="21533222" y="21242659"/>
          <a:ext cx="510769" cy="0"/>
        </a:xfrm>
        <a:prstGeom prst="straightConnector1">
          <a:avLst/>
        </a:prstGeom>
        <a:solidFill>
          <a:srgbClr val="090000"/>
        </a:solidFill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24</xdr:col>
      <xdr:colOff>1055806</xdr:colOff>
      <xdr:row>102</xdr:row>
      <xdr:rowOff>96369</xdr:rowOff>
    </xdr:from>
    <xdr:to>
      <xdr:col>24</xdr:col>
      <xdr:colOff>1401081</xdr:colOff>
      <xdr:row>105</xdr:row>
      <xdr:rowOff>150798</xdr:rowOff>
    </xdr:to>
    <xdr:sp macro="" textlink="">
      <xdr:nvSpPr>
        <xdr:cNvPr id="65" name="Fluxograma: Processo 64">
          <a:extLst>
            <a:ext uri="{FF2B5EF4-FFF2-40B4-BE49-F238E27FC236}">
              <a16:creationId xmlns:a16="http://schemas.microsoft.com/office/drawing/2014/main" xmlns="" id="{00000000-0008-0000-0700-000041000000}"/>
            </a:ext>
          </a:extLst>
        </xdr:cNvPr>
        <xdr:cNvSpPr/>
      </xdr:nvSpPr>
      <xdr:spPr bwMode="auto">
        <a:xfrm>
          <a:off x="21697041" y="20535898"/>
          <a:ext cx="345275" cy="625929"/>
        </a:xfrm>
        <a:prstGeom prst="flowChartProcess">
          <a:avLst/>
        </a:prstGeom>
        <a:solidFill>
          <a:schemeClr val="bg1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pt-BR" sz="4000"/>
            <a:t>5</a:t>
          </a:r>
        </a:p>
      </xdr:txBody>
    </xdr:sp>
    <xdr:clientData/>
  </xdr:twoCellAnchor>
  <xdr:twoCellAnchor>
    <xdr:from>
      <xdr:col>24</xdr:col>
      <xdr:colOff>1497107</xdr:colOff>
      <xdr:row>106</xdr:row>
      <xdr:rowOff>118784</xdr:rowOff>
    </xdr:from>
    <xdr:to>
      <xdr:col>25</xdr:col>
      <xdr:colOff>172912</xdr:colOff>
      <xdr:row>109</xdr:row>
      <xdr:rowOff>159606</xdr:rowOff>
    </xdr:to>
    <xdr:sp macro="" textlink="">
      <xdr:nvSpPr>
        <xdr:cNvPr id="67" name="Seta para a direita 66">
          <a:extLst>
            <a:ext uri="{FF2B5EF4-FFF2-40B4-BE49-F238E27FC236}">
              <a16:creationId xmlns:a16="http://schemas.microsoft.com/office/drawing/2014/main" xmlns="" id="{00000000-0008-0000-0700-000043000000}"/>
            </a:ext>
          </a:extLst>
        </xdr:cNvPr>
        <xdr:cNvSpPr/>
      </xdr:nvSpPr>
      <xdr:spPr bwMode="auto">
        <a:xfrm rot="9363644">
          <a:off x="22138342" y="21320313"/>
          <a:ext cx="580805" cy="612322"/>
        </a:xfrm>
        <a:prstGeom prst="rightArrow">
          <a:avLst/>
        </a:prstGeom>
        <a:solidFill>
          <a:schemeClr val="bg1"/>
        </a:solidFill>
        <a:ln w="2857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23</xdr:col>
      <xdr:colOff>203946</xdr:colOff>
      <xdr:row>107</xdr:row>
      <xdr:rowOff>47853</xdr:rowOff>
    </xdr:from>
    <xdr:to>
      <xdr:col>24</xdr:col>
      <xdr:colOff>165627</xdr:colOff>
      <xdr:row>107</xdr:row>
      <xdr:rowOff>47853</xdr:rowOff>
    </xdr:to>
    <xdr:cxnSp macro="">
      <xdr:nvCxnSpPr>
        <xdr:cNvPr id="68" name="Conector de seta reta 67">
          <a:extLst>
            <a:ext uri="{FF2B5EF4-FFF2-40B4-BE49-F238E27FC236}">
              <a16:creationId xmlns:a16="http://schemas.microsoft.com/office/drawing/2014/main" xmlns="" id="{00000000-0008-0000-0700-000044000000}"/>
            </a:ext>
          </a:extLst>
        </xdr:cNvPr>
        <xdr:cNvCxnSpPr/>
      </xdr:nvCxnSpPr>
      <xdr:spPr bwMode="auto">
        <a:xfrm flipH="1">
          <a:off x="20296093" y="21439882"/>
          <a:ext cx="510769" cy="0"/>
        </a:xfrm>
        <a:prstGeom prst="straightConnector1">
          <a:avLst/>
        </a:prstGeom>
        <a:solidFill>
          <a:srgbClr val="090000"/>
        </a:solidFill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23</xdr:col>
      <xdr:colOff>345352</xdr:colOff>
      <xdr:row>103</xdr:row>
      <xdr:rowOff>58269</xdr:rowOff>
    </xdr:from>
    <xdr:to>
      <xdr:col>24</xdr:col>
      <xdr:colOff>141539</xdr:colOff>
      <xdr:row>106</xdr:row>
      <xdr:rowOff>112698</xdr:rowOff>
    </xdr:to>
    <xdr:sp macro="" textlink="">
      <xdr:nvSpPr>
        <xdr:cNvPr id="69" name="Fluxograma: Processo 68">
          <a:extLst>
            <a:ext uri="{FF2B5EF4-FFF2-40B4-BE49-F238E27FC236}">
              <a16:creationId xmlns:a16="http://schemas.microsoft.com/office/drawing/2014/main" xmlns="" id="{00000000-0008-0000-0700-000045000000}"/>
            </a:ext>
          </a:extLst>
        </xdr:cNvPr>
        <xdr:cNvSpPr/>
      </xdr:nvSpPr>
      <xdr:spPr bwMode="auto">
        <a:xfrm>
          <a:off x="20437499" y="20688298"/>
          <a:ext cx="345275" cy="625929"/>
        </a:xfrm>
        <a:prstGeom prst="flowChartProcess">
          <a:avLst/>
        </a:prstGeom>
        <a:solidFill>
          <a:schemeClr val="bg1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pt-BR" sz="40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</xdr:rowOff>
    </xdr:from>
    <xdr:to>
      <xdr:col>15</xdr:col>
      <xdr:colOff>795131</xdr:colOff>
      <xdr:row>0</xdr:row>
      <xdr:rowOff>621197</xdr:rowOff>
    </xdr:to>
    <xdr:sp macro="[0]!VOLTA_CADASTRO" textlink="">
      <xdr:nvSpPr>
        <xdr:cNvPr id="53" name="Retângulo: Cantos Arredondados 52">
          <a:extLst>
            <a:ext uri="{FF2B5EF4-FFF2-40B4-BE49-F238E27FC236}">
              <a16:creationId xmlns:a16="http://schemas.microsoft.com/office/drawing/2014/main" xmlns="" id="{00000000-0008-0000-0700-000035000000}"/>
            </a:ext>
          </a:extLst>
        </xdr:cNvPr>
        <xdr:cNvSpPr/>
      </xdr:nvSpPr>
      <xdr:spPr bwMode="auto">
        <a:xfrm>
          <a:off x="13682870" y="1"/>
          <a:ext cx="1623391" cy="621196"/>
        </a:xfrm>
        <a:prstGeom prst="roundRect">
          <a:avLst/>
        </a:prstGeom>
        <a:solidFill>
          <a:schemeClr val="accent1">
            <a:lumMod val="50000"/>
          </a:schemeClr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scene3d>
          <a:camera prst="orthographicFront"/>
          <a:lightRig rig="threePt" dir="t"/>
        </a:scene3d>
        <a:sp3d>
          <a:bevelT w="114300" prst="hardEdge"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 i="0" baseline="0">
              <a:solidFill>
                <a:schemeClr val="bg1"/>
              </a:solidFill>
            </a:rPr>
            <a:t>FINALIZAR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582081</xdr:colOff>
      <xdr:row>2</xdr:row>
      <xdr:rowOff>43579</xdr:rowOff>
    </xdr:from>
    <xdr:to>
      <xdr:col>15</xdr:col>
      <xdr:colOff>29287</xdr:colOff>
      <xdr:row>3</xdr:row>
      <xdr:rowOff>102697</xdr:rowOff>
    </xdr:to>
    <xdr:sp macro="[0]!PRODUÇÃO" textlink="">
      <xdr:nvSpPr>
        <xdr:cNvPr id="2" name="Bisel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 bwMode="auto">
        <a:xfrm>
          <a:off x="11402481" y="376954"/>
          <a:ext cx="199681" cy="221043"/>
        </a:xfrm>
        <a:prstGeom prst="bevel">
          <a:avLst/>
        </a:prstGeom>
        <a:noFill/>
        <a:ln w="6350"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1080123</xdr:colOff>
      <xdr:row>2</xdr:row>
      <xdr:rowOff>43579</xdr:rowOff>
    </xdr:from>
    <xdr:to>
      <xdr:col>12</xdr:col>
      <xdr:colOff>34270</xdr:colOff>
      <xdr:row>3</xdr:row>
      <xdr:rowOff>102697</xdr:rowOff>
    </xdr:to>
    <xdr:sp macro="[0]!PRE_PROJETO" textlink="">
      <xdr:nvSpPr>
        <xdr:cNvPr id="3" name="Bisel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SpPr/>
      </xdr:nvSpPr>
      <xdr:spPr bwMode="auto">
        <a:xfrm>
          <a:off x="8785848" y="376954"/>
          <a:ext cx="192397" cy="221043"/>
        </a:xfrm>
        <a:prstGeom prst="bevel">
          <a:avLst/>
        </a:prstGeom>
        <a:noFill/>
        <a:ln w="6350"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425826</xdr:colOff>
      <xdr:row>2</xdr:row>
      <xdr:rowOff>43579</xdr:rowOff>
    </xdr:from>
    <xdr:to>
      <xdr:col>9</xdr:col>
      <xdr:colOff>29915</xdr:colOff>
      <xdr:row>3</xdr:row>
      <xdr:rowOff>102697</xdr:rowOff>
    </xdr:to>
    <xdr:sp macro="[0]!PROTÓTIPO" textlink="">
      <xdr:nvSpPr>
        <xdr:cNvPr id="4" name="Bisel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 bwMode="auto">
        <a:xfrm>
          <a:off x="5793444" y="368550"/>
          <a:ext cx="198000" cy="216000"/>
        </a:xfrm>
        <a:prstGeom prst="bevel">
          <a:avLst/>
        </a:prstGeom>
        <a:noFill/>
        <a:ln w="6350"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44825</xdr:colOff>
      <xdr:row>0</xdr:row>
      <xdr:rowOff>44824</xdr:rowOff>
    </xdr:from>
    <xdr:to>
      <xdr:col>19</xdr:col>
      <xdr:colOff>34243</xdr:colOff>
      <xdr:row>2</xdr:row>
      <xdr:rowOff>127623</xdr:rowOff>
    </xdr:to>
    <xdr:sp macro="[0]!ADC_PROCESSO" textlink="">
      <xdr:nvSpPr>
        <xdr:cNvPr id="8" name="Retângulo de cantos arredondados 7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SpPr/>
      </xdr:nvSpPr>
      <xdr:spPr bwMode="auto">
        <a:xfrm>
          <a:off x="13648766" y="44824"/>
          <a:ext cx="1199653" cy="407770"/>
        </a:xfrm>
        <a:prstGeom prst="roundRect">
          <a:avLst/>
        </a:prstGeom>
        <a:solidFill>
          <a:srgbClr val="0070C0"/>
        </a:solidFill>
        <a:ln>
          <a:noFill/>
          <a:headEnd type="none" w="med" len="med"/>
          <a:tailEnd type="none" w="med" len="med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ADICIONAR </a:t>
          </a:r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PROCESSO</a:t>
          </a:r>
        </a:p>
      </xdr:txBody>
    </xdr:sp>
    <xdr:clientData/>
  </xdr:twoCellAnchor>
  <xdr:twoCellAnchor>
    <xdr:from>
      <xdr:col>17</xdr:col>
      <xdr:colOff>44825</xdr:colOff>
      <xdr:row>3</xdr:row>
      <xdr:rowOff>52916</xdr:rowOff>
    </xdr:from>
    <xdr:to>
      <xdr:col>19</xdr:col>
      <xdr:colOff>34242</xdr:colOff>
      <xdr:row>6</xdr:row>
      <xdr:rowOff>13696</xdr:rowOff>
    </xdr:to>
    <xdr:sp macro="[0]!ADC_MAGNAFLUX" textlink="">
      <xdr:nvSpPr>
        <xdr:cNvPr id="9" name="Retângulo de cantos arredondados 8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SpPr/>
      </xdr:nvSpPr>
      <xdr:spPr bwMode="auto">
        <a:xfrm>
          <a:off x="13648766" y="534769"/>
          <a:ext cx="1199652" cy="442633"/>
        </a:xfrm>
        <a:prstGeom prst="roundRect">
          <a:avLst/>
        </a:prstGeom>
        <a:solidFill>
          <a:srgbClr val="0070C0"/>
        </a:solidFill>
        <a:ln>
          <a:noFill/>
          <a:headEnd type="none" w="med" len="med"/>
          <a:tailEnd type="none" w="med" len="med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ADICIONAR </a:t>
          </a:r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MAGNAFLUX</a:t>
          </a:r>
        </a:p>
      </xdr:txBody>
    </xdr:sp>
    <xdr:clientData/>
  </xdr:twoCellAnchor>
  <xdr:twoCellAnchor>
    <xdr:from>
      <xdr:col>17</xdr:col>
      <xdr:colOff>44825</xdr:colOff>
      <xdr:row>6</xdr:row>
      <xdr:rowOff>95871</xdr:rowOff>
    </xdr:from>
    <xdr:to>
      <xdr:col>19</xdr:col>
      <xdr:colOff>34242</xdr:colOff>
      <xdr:row>9</xdr:row>
      <xdr:rowOff>11827</xdr:rowOff>
    </xdr:to>
    <xdr:sp macro="[0]!ADC_JATEAR" textlink="">
      <xdr:nvSpPr>
        <xdr:cNvPr id="10" name="Retângulo de cantos arredondados 9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SpPr/>
      </xdr:nvSpPr>
      <xdr:spPr bwMode="auto">
        <a:xfrm>
          <a:off x="13648766" y="1059577"/>
          <a:ext cx="1199652" cy="409015"/>
        </a:xfrm>
        <a:prstGeom prst="roundRect">
          <a:avLst/>
        </a:prstGeom>
        <a:solidFill>
          <a:srgbClr val="0070C0"/>
        </a:solidFill>
        <a:ln>
          <a:noFill/>
          <a:headEnd type="none" w="med" len="med"/>
          <a:tailEnd type="none" w="med" len="med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ADICIONAR </a:t>
          </a:r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JATEAR</a:t>
          </a:r>
        </a:p>
      </xdr:txBody>
    </xdr:sp>
    <xdr:clientData/>
  </xdr:twoCellAnchor>
  <xdr:twoCellAnchor>
    <xdr:from>
      <xdr:col>17</xdr:col>
      <xdr:colOff>44824</xdr:colOff>
      <xdr:row>9</xdr:row>
      <xdr:rowOff>89647</xdr:rowOff>
    </xdr:from>
    <xdr:to>
      <xdr:col>19</xdr:col>
      <xdr:colOff>34241</xdr:colOff>
      <xdr:row>12</xdr:row>
      <xdr:rowOff>16809</xdr:rowOff>
    </xdr:to>
    <xdr:sp macro="[0]!CARIMBO.CARIMBO" textlink="">
      <xdr:nvSpPr>
        <xdr:cNvPr id="11" name="Retângulo de cantos arredondados 10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SpPr/>
      </xdr:nvSpPr>
      <xdr:spPr bwMode="auto">
        <a:xfrm>
          <a:off x="13648765" y="1546412"/>
          <a:ext cx="1199652" cy="409015"/>
        </a:xfrm>
        <a:prstGeom prst="roundRect">
          <a:avLst/>
        </a:prstGeom>
        <a:solidFill>
          <a:srgbClr val="C00000"/>
        </a:solidFill>
        <a:ln>
          <a:noFill/>
          <a:headEnd type="none" w="med" len="med"/>
          <a:tailEnd type="none" w="med" len="med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pt-BR" sz="1100" b="1" i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EIME's</a:t>
          </a:r>
          <a:r>
            <a:rPr lang="pt-BR" sz="1100" b="1" i="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/ CÓPIA CONTROLADA</a:t>
          </a:r>
          <a:endParaRPr lang="pt-BR" sz="1200" b="1" i="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328975</xdr:colOff>
      <xdr:row>6</xdr:row>
      <xdr:rowOff>110456</xdr:rowOff>
    </xdr:from>
    <xdr:to>
      <xdr:col>0</xdr:col>
      <xdr:colOff>1754969</xdr:colOff>
      <xdr:row>14</xdr:row>
      <xdr:rowOff>26456</xdr:rowOff>
    </xdr:to>
    <xdr:pic>
      <xdr:nvPicPr>
        <xdr:cNvPr id="4" name="Picture 586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975" y="1186221"/>
          <a:ext cx="1425994" cy="1440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190500</xdr:colOff>
      <xdr:row>13</xdr:row>
      <xdr:rowOff>52886</xdr:rowOff>
    </xdr:from>
    <xdr:to>
      <xdr:col>12</xdr:col>
      <xdr:colOff>57589</xdr:colOff>
      <xdr:row>19</xdr:row>
      <xdr:rowOff>179295</xdr:rowOff>
    </xdr:to>
    <xdr:pic>
      <xdr:nvPicPr>
        <xdr:cNvPr id="3" name="CC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1937" b="8125"/>
        <a:stretch/>
      </xdr:blipFill>
      <xdr:spPr bwMode="auto">
        <a:xfrm>
          <a:off x="8886265" y="2462151"/>
          <a:ext cx="3497795" cy="12694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213755</xdr:colOff>
      <xdr:row>1</xdr:row>
      <xdr:rowOff>79987</xdr:rowOff>
    </xdr:from>
    <xdr:to>
      <xdr:col>11</xdr:col>
      <xdr:colOff>433790</xdr:colOff>
      <xdr:row>12</xdr:row>
      <xdr:rowOff>16269</xdr:rowOff>
    </xdr:to>
    <xdr:grpSp>
      <xdr:nvGrpSpPr>
        <xdr:cNvPr id="5" name="EIMES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GrpSpPr/>
      </xdr:nvGrpSpPr>
      <xdr:grpSpPr>
        <a:xfrm>
          <a:off x="10993814" y="236869"/>
          <a:ext cx="3245623" cy="1998165"/>
          <a:chOff x="5887211" y="1032484"/>
          <a:chExt cx="2007578" cy="1315285"/>
        </a:xfrm>
      </xdr:grpSpPr>
      <xdr:grpSp>
        <xdr:nvGrpSpPr>
          <xdr:cNvPr id="6" name="Grup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pSpPr/>
        </xdr:nvGrpSpPr>
        <xdr:grpSpPr>
          <a:xfrm>
            <a:off x="5887211" y="1032484"/>
            <a:ext cx="2007578" cy="1315285"/>
            <a:chOff x="7826940" y="1032673"/>
            <a:chExt cx="2012634" cy="1319984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9217" name="Object 1" hidden="1">
                  <a:extLst>
                    <a:ext uri="{63B3BB69-23CF-44E3-9099-C40C66FF867C}">
                      <a14:compatExt spid="_x0000_s9217"/>
                    </a:ext>
                    <a:ext uri="{FF2B5EF4-FFF2-40B4-BE49-F238E27FC236}">
                      <a16:creationId xmlns:a16="http://schemas.microsoft.com/office/drawing/2014/main" xmlns="" id="{00000000-0008-0000-0900-000001240000}"/>
                    </a:ext>
                  </a:extLst>
                </xdr:cNvPr>
                <xdr:cNvSpPr/>
              </xdr:nvSpPr>
              <xdr:spPr bwMode="auto">
                <a:xfrm>
                  <a:off x="7922038" y="2180116"/>
                  <a:ext cx="1560688" cy="167732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xdr:grpSp>
          <xdr:nvGrpSpPr>
            <xdr:cNvPr id="8" name="Grupo 7">
              <a:extLst>
                <a:ext uri="{FF2B5EF4-FFF2-40B4-BE49-F238E27FC236}">
                  <a16:creationId xmlns:a16="http://schemas.microsoft.com/office/drawing/2014/main" xmlns="" id="{00000000-0008-0000-0900-000008000000}"/>
                </a:ext>
              </a:extLst>
            </xdr:cNvPr>
            <xdr:cNvGrpSpPr/>
          </xdr:nvGrpSpPr>
          <xdr:grpSpPr>
            <a:xfrm>
              <a:off x="7826940" y="1032673"/>
              <a:ext cx="2012634" cy="1319984"/>
              <a:chOff x="7826940" y="1032673"/>
              <a:chExt cx="2012634" cy="1319984"/>
            </a:xfrm>
          </xdr:grpSpPr>
          <xdr:sp macro="" textlink="">
            <xdr:nvSpPr>
              <xdr:cNvPr id="10" name="Text Box 1">
                <a:extLst>
                  <a:ext uri="{FF2B5EF4-FFF2-40B4-BE49-F238E27FC236}">
                    <a16:creationId xmlns:a16="http://schemas.microsoft.com/office/drawing/2014/main" xmlns="" id="{00000000-0008-0000-0900-00000A00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826940" y="1032673"/>
                <a:ext cx="2012634" cy="338858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vertOverflow="clip" wrap="square" lIns="27432" tIns="27432" rIns="0" bIns="0" anchor="t" upright="1"/>
              <a:lstStyle/>
              <a:p>
                <a:pPr algn="ctr" rtl="0">
                  <a:defRPr sz="1000"/>
                </a:pPr>
                <a:r>
                  <a:rPr lang="pt-BR" sz="1150" b="1" i="0" u="none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Seleção de EIME’S e Análise Crítica  das características especiais</a:t>
                </a:r>
              </a:p>
            </xdr:txBody>
          </xdr:sp>
          <xdr:sp macro="" textlink="">
            <xdr:nvSpPr>
              <xdr:cNvPr id="11" name="Text Box 2">
                <a:extLst>
                  <a:ext uri="{FF2B5EF4-FFF2-40B4-BE49-F238E27FC236}">
                    <a16:creationId xmlns:a16="http://schemas.microsoft.com/office/drawing/2014/main" xmlns="" id="{00000000-0008-0000-0900-00000B00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954288" y="1463587"/>
                <a:ext cx="362916" cy="249288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vertOverflow="clip" wrap="square" lIns="27432" tIns="27432" rIns="0" bIns="0" anchor="t" upright="1"/>
              <a:lstStyle/>
              <a:p>
                <a:pPr algn="l" rtl="0">
                  <a:defRPr sz="1000"/>
                </a:pPr>
                <a:r>
                  <a:rPr lang="pt-BR" sz="1200" b="1" i="0" u="none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Data</a:t>
                </a:r>
                <a:r>
                  <a:rPr lang="pt-BR" sz="1200" b="0" i="0" u="none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:</a:t>
                </a:r>
                <a:endPara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endParaRPr>
              </a:p>
            </xdr:txBody>
          </xdr:sp>
          <xdr:sp macro="" textlink="">
            <xdr:nvSpPr>
              <xdr:cNvPr id="12" name="Text Box 3">
                <a:extLst>
                  <a:ext uri="{FF2B5EF4-FFF2-40B4-BE49-F238E27FC236}">
                    <a16:creationId xmlns:a16="http://schemas.microsoft.com/office/drawing/2014/main" xmlns="" id="{00000000-0008-0000-0900-00000C00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8550096" y="1971271"/>
                <a:ext cx="581886" cy="219075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vertOverflow="clip" wrap="square" lIns="27432" tIns="27432" rIns="0" bIns="0" anchor="t" upright="1"/>
              <a:lstStyle/>
              <a:p>
                <a:pPr algn="l" rtl="0">
                  <a:defRPr sz="1000"/>
                </a:pPr>
                <a:r>
                  <a:rPr lang="pt-BR" sz="1100" b="1" i="0" u="none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Responsável</a:t>
                </a:r>
              </a:p>
            </xdr:txBody>
          </xdr:sp>
          <xdr:cxnSp macro="">
            <xdr:nvCxnSpPr>
              <xdr:cNvPr id="13" name="Conector reto 12">
                <a:extLst>
                  <a:ext uri="{FF2B5EF4-FFF2-40B4-BE49-F238E27FC236}">
                    <a16:creationId xmlns:a16="http://schemas.microsoft.com/office/drawing/2014/main" xmlns="" id="{00000000-0008-0000-0900-00000D000000}"/>
                  </a:ext>
                </a:extLst>
              </xdr:cNvPr>
              <xdr:cNvCxnSpPr/>
            </xdr:nvCxnSpPr>
            <xdr:spPr>
              <a:xfrm>
                <a:off x="8011828" y="1968972"/>
                <a:ext cx="1658421" cy="0"/>
              </a:xfrm>
              <a:prstGeom prst="line">
                <a:avLst/>
              </a:prstGeom>
              <a:ln w="12700"/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4" name="Retângulo 13">
                <a:extLst>
                  <a:ext uri="{FF2B5EF4-FFF2-40B4-BE49-F238E27FC236}">
                    <a16:creationId xmlns:a16="http://schemas.microsoft.com/office/drawing/2014/main" xmlns="" id="{00000000-0008-0000-0900-00000E000000}"/>
                  </a:ext>
                </a:extLst>
              </xdr:cNvPr>
              <xdr:cNvSpPr/>
            </xdr:nvSpPr>
            <xdr:spPr>
              <a:xfrm>
                <a:off x="7886158" y="1038657"/>
                <a:ext cx="1909761" cy="1314000"/>
              </a:xfrm>
              <a:prstGeom prst="rect">
                <a:avLst/>
              </a:prstGeom>
              <a:no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sp macro="" textlink="">
        <xdr:nvSpPr>
          <xdr:cNvPr id="7" name="data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SpPr txBox="1"/>
        </xdr:nvSpPr>
        <xdr:spPr>
          <a:xfrm>
            <a:off x="6446753" y="1402103"/>
            <a:ext cx="674435" cy="248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BR" sz="1200" b="1" i="1">
                <a:solidFill>
                  <a:srgbClr val="002060"/>
                </a:solidFill>
                <a:latin typeface="Malgun Gothic Semilight" panose="020B0502040204020203" pitchFamily="34" charset="-128"/>
                <a:ea typeface="Malgun Gothic Semilight" panose="020B0502040204020203" pitchFamily="34" charset="-128"/>
                <a:cs typeface="Malgun Gothic Semilight" panose="020B0502040204020203" pitchFamily="34" charset="-128"/>
              </a:rPr>
              <a:t>14/10/2021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466725</xdr:colOff>
      <xdr:row>3</xdr:row>
      <xdr:rowOff>9524</xdr:rowOff>
    </xdr:from>
    <xdr:to>
      <xdr:col>13</xdr:col>
      <xdr:colOff>152400</xdr:colOff>
      <xdr:row>7</xdr:row>
      <xdr:rowOff>57149</xdr:rowOff>
    </xdr:to>
    <xdr:sp macro="[0]!CADASTRA_PROCESS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 bwMode="auto">
        <a:xfrm>
          <a:off x="6743700" y="666749"/>
          <a:ext cx="1514475" cy="752475"/>
        </a:xfrm>
        <a:prstGeom prst="roundRect">
          <a:avLst/>
        </a:prstGeom>
        <a:solidFill>
          <a:schemeClr val="accent1">
            <a:lumMod val="50000"/>
          </a:schemeClr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scene3d>
          <a:camera prst="orthographicFront"/>
          <a:lightRig rig="threePt" dir="t"/>
        </a:scene3d>
        <a:sp3d>
          <a:bevelT w="114300" prst="hardEdge"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 i="0">
              <a:solidFill>
                <a:schemeClr val="bg1"/>
              </a:solidFill>
            </a:rPr>
            <a:t>CADASTRAR</a:t>
          </a:r>
          <a:r>
            <a:rPr lang="pt-BR" sz="1800" b="1" i="0" baseline="0">
              <a:solidFill>
                <a:schemeClr val="bg1"/>
              </a:solidFill>
            </a:rPr>
            <a:t> PROCESSO</a:t>
          </a:r>
        </a:p>
      </xdr:txBody>
    </xdr:sp>
    <xdr:clientData/>
  </xdr:twoCellAnchor>
  <xdr:twoCellAnchor>
    <xdr:from>
      <xdr:col>1</xdr:col>
      <xdr:colOff>381000</xdr:colOff>
      <xdr:row>19</xdr:row>
      <xdr:rowOff>104774</xdr:rowOff>
    </xdr:from>
    <xdr:to>
      <xdr:col>5</xdr:col>
      <xdr:colOff>209550</xdr:colOff>
      <xdr:row>26</xdr:row>
      <xdr:rowOff>38100</xdr:rowOff>
    </xdr:to>
    <xdr:sp macro="[0]!CADASTRO_ETM2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 bwMode="auto">
        <a:xfrm>
          <a:off x="990600" y="3409949"/>
          <a:ext cx="2447925" cy="1066801"/>
        </a:xfrm>
        <a:prstGeom prst="roundRect">
          <a:avLst/>
        </a:prstGeom>
        <a:solidFill>
          <a:schemeClr val="accent1">
            <a:lumMod val="50000"/>
          </a:schemeClr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scene3d>
          <a:camera prst="orthographicFront"/>
          <a:lightRig rig="threePt" dir="t"/>
        </a:scene3d>
        <a:sp3d>
          <a:bevelT w="114300" prst="hardEdge"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 i="0">
              <a:solidFill>
                <a:schemeClr val="bg1"/>
              </a:solidFill>
            </a:rPr>
            <a:t>CADASTRAR</a:t>
          </a:r>
          <a:r>
            <a:rPr lang="pt-BR" sz="1800" b="1" i="0" baseline="0">
              <a:solidFill>
                <a:schemeClr val="bg1"/>
              </a:solidFill>
            </a:rPr>
            <a:t> POSIÇÃO ETM 002</a:t>
          </a:r>
        </a:p>
      </xdr:txBody>
    </xdr:sp>
    <xdr:clientData/>
  </xdr:twoCellAnchor>
  <xdr:twoCellAnchor>
    <xdr:from>
      <xdr:col>1</xdr:col>
      <xdr:colOff>381000</xdr:colOff>
      <xdr:row>26</xdr:row>
      <xdr:rowOff>104774</xdr:rowOff>
    </xdr:from>
    <xdr:to>
      <xdr:col>5</xdr:col>
      <xdr:colOff>209550</xdr:colOff>
      <xdr:row>30</xdr:row>
      <xdr:rowOff>152399</xdr:rowOff>
    </xdr:to>
    <xdr:sp macro="[0]!REVISA_ETM2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SpPr/>
      </xdr:nvSpPr>
      <xdr:spPr bwMode="auto">
        <a:xfrm>
          <a:off x="990600" y="4543424"/>
          <a:ext cx="2447925" cy="695325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hardEdge"/>
          <a:contourClr>
            <a:srgbClr val="FFFFFF"/>
          </a:contourClr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 i="0">
              <a:solidFill>
                <a:schemeClr val="bg1"/>
              </a:solidFill>
            </a:rPr>
            <a:t>REVISAR</a:t>
          </a:r>
          <a:r>
            <a:rPr lang="pt-BR" sz="1800" b="1" i="0" baseline="0">
              <a:solidFill>
                <a:schemeClr val="bg1"/>
              </a:solidFill>
            </a:rPr>
            <a:t> POSIÇÃO ETM 002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570875</xdr:colOff>
      <xdr:row>2</xdr:row>
      <xdr:rowOff>43579</xdr:rowOff>
    </xdr:from>
    <xdr:to>
      <xdr:col>15</xdr:col>
      <xdr:colOff>18081</xdr:colOff>
      <xdr:row>3</xdr:row>
      <xdr:rowOff>102697</xdr:rowOff>
    </xdr:to>
    <xdr:sp macro="[0]!PRODUÇÃO" textlink="">
      <xdr:nvSpPr>
        <xdr:cNvPr id="2" name="Bisel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SpPr/>
      </xdr:nvSpPr>
      <xdr:spPr bwMode="auto">
        <a:xfrm>
          <a:off x="11391275" y="376954"/>
          <a:ext cx="199681" cy="221043"/>
        </a:xfrm>
        <a:prstGeom prst="bevel">
          <a:avLst/>
        </a:prstGeom>
        <a:noFill/>
        <a:ln w="6350"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1068917</xdr:colOff>
      <xdr:row>2</xdr:row>
      <xdr:rowOff>43579</xdr:rowOff>
    </xdr:from>
    <xdr:to>
      <xdr:col>12</xdr:col>
      <xdr:colOff>23064</xdr:colOff>
      <xdr:row>3</xdr:row>
      <xdr:rowOff>102697</xdr:rowOff>
    </xdr:to>
    <xdr:sp macro="[0]!PRE_PROJETO" textlink="">
      <xdr:nvSpPr>
        <xdr:cNvPr id="3" name="Bisel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/>
      </xdr:nvSpPr>
      <xdr:spPr bwMode="auto">
        <a:xfrm>
          <a:off x="8774642" y="376954"/>
          <a:ext cx="192397" cy="221043"/>
        </a:xfrm>
        <a:prstGeom prst="bevel">
          <a:avLst/>
        </a:prstGeom>
        <a:noFill/>
        <a:ln w="6350"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381002</xdr:colOff>
      <xdr:row>2</xdr:row>
      <xdr:rowOff>43579</xdr:rowOff>
    </xdr:from>
    <xdr:to>
      <xdr:col>9</xdr:col>
      <xdr:colOff>18708</xdr:colOff>
      <xdr:row>3</xdr:row>
      <xdr:rowOff>102697</xdr:rowOff>
    </xdr:to>
    <xdr:sp macro="[0]!PROTÓTIPO" textlink="">
      <xdr:nvSpPr>
        <xdr:cNvPr id="4" name="Bisel 3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/>
      </xdr:nvSpPr>
      <xdr:spPr bwMode="auto">
        <a:xfrm>
          <a:off x="5753102" y="376954"/>
          <a:ext cx="199681" cy="221043"/>
        </a:xfrm>
        <a:prstGeom prst="bevel">
          <a:avLst/>
        </a:prstGeom>
        <a:noFill/>
        <a:ln w="6350"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33618</xdr:colOff>
      <xdr:row>0</xdr:row>
      <xdr:rowOff>44824</xdr:rowOff>
    </xdr:from>
    <xdr:to>
      <xdr:col>19</xdr:col>
      <xdr:colOff>23036</xdr:colOff>
      <xdr:row>2</xdr:row>
      <xdr:rowOff>127623</xdr:rowOff>
    </xdr:to>
    <xdr:sp macro="[0]!ADC_PROCESSO" textlink="">
      <xdr:nvSpPr>
        <xdr:cNvPr id="5" name="Retângulo de cantos arredondados 4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SpPr/>
      </xdr:nvSpPr>
      <xdr:spPr bwMode="auto">
        <a:xfrm>
          <a:off x="13637559" y="44824"/>
          <a:ext cx="1199653" cy="407770"/>
        </a:xfrm>
        <a:prstGeom prst="roundRect">
          <a:avLst/>
        </a:prstGeom>
        <a:solidFill>
          <a:srgbClr val="0070C0"/>
        </a:solidFill>
        <a:ln>
          <a:noFill/>
          <a:headEnd type="none" w="med" len="med"/>
          <a:tailEnd type="none" w="med" len="med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ADICIONAR </a:t>
          </a:r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PROCESSO</a:t>
          </a:r>
        </a:p>
      </xdr:txBody>
    </xdr:sp>
    <xdr:clientData/>
  </xdr:twoCellAnchor>
  <xdr:twoCellAnchor>
    <xdr:from>
      <xdr:col>17</xdr:col>
      <xdr:colOff>33619</xdr:colOff>
      <xdr:row>3</xdr:row>
      <xdr:rowOff>44201</xdr:rowOff>
    </xdr:from>
    <xdr:to>
      <xdr:col>19</xdr:col>
      <xdr:colOff>23036</xdr:colOff>
      <xdr:row>5</xdr:row>
      <xdr:rowOff>139451</xdr:rowOff>
    </xdr:to>
    <xdr:sp macro="[0]!ADC_MAGNAFLUX" textlink="">
      <xdr:nvSpPr>
        <xdr:cNvPr id="6" name="Retângulo de cantos arredondados 5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SpPr/>
      </xdr:nvSpPr>
      <xdr:spPr bwMode="auto">
        <a:xfrm>
          <a:off x="13637560" y="526054"/>
          <a:ext cx="1199652" cy="409015"/>
        </a:xfrm>
        <a:prstGeom prst="roundRect">
          <a:avLst/>
        </a:prstGeom>
        <a:solidFill>
          <a:srgbClr val="0070C0"/>
        </a:solidFill>
        <a:ln>
          <a:noFill/>
          <a:headEnd type="none" w="med" len="med"/>
          <a:tailEnd type="none" w="med" len="med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ADICIONAR </a:t>
          </a:r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MAGNAFLUX</a:t>
          </a:r>
        </a:p>
      </xdr:txBody>
    </xdr:sp>
    <xdr:clientData/>
  </xdr:twoCellAnchor>
  <xdr:twoCellAnchor>
    <xdr:from>
      <xdr:col>17</xdr:col>
      <xdr:colOff>33619</xdr:colOff>
      <xdr:row>6</xdr:row>
      <xdr:rowOff>56028</xdr:rowOff>
    </xdr:from>
    <xdr:to>
      <xdr:col>19</xdr:col>
      <xdr:colOff>23036</xdr:colOff>
      <xdr:row>8</xdr:row>
      <xdr:rowOff>151278</xdr:rowOff>
    </xdr:to>
    <xdr:sp macro="[0]!REMOVE_JAT" textlink="">
      <xdr:nvSpPr>
        <xdr:cNvPr id="8" name="Retângulo de cantos arredondados 7">
          <a:extLst>
            <a:ext uri="{FF2B5EF4-FFF2-40B4-BE49-F238E27FC236}">
              <a16:creationId xmlns:a16="http://schemas.microsoft.com/office/drawing/2014/main" xmlns="" id="{00000000-0008-0000-0B00-000008000000}"/>
            </a:ext>
          </a:extLst>
        </xdr:cNvPr>
        <xdr:cNvSpPr/>
      </xdr:nvSpPr>
      <xdr:spPr bwMode="auto">
        <a:xfrm>
          <a:off x="13637560" y="1019734"/>
          <a:ext cx="1199652" cy="409015"/>
        </a:xfrm>
        <a:prstGeom prst="roundRect">
          <a:avLst/>
        </a:prstGeom>
        <a:solidFill>
          <a:srgbClr val="FFC000"/>
        </a:solidFill>
        <a:ln>
          <a:noFill/>
          <a:headEnd type="none" w="med" len="med"/>
          <a:tailEnd type="none" w="med" len="med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REMOVER </a:t>
          </a:r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JATEAR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33618</xdr:colOff>
      <xdr:row>0</xdr:row>
      <xdr:rowOff>44824</xdr:rowOff>
    </xdr:from>
    <xdr:to>
      <xdr:col>19</xdr:col>
      <xdr:colOff>23036</xdr:colOff>
      <xdr:row>2</xdr:row>
      <xdr:rowOff>127623</xdr:rowOff>
    </xdr:to>
    <xdr:sp macro="[0]!ADC_PROCESSO" textlink="">
      <xdr:nvSpPr>
        <xdr:cNvPr id="5" name="Retângulo de cantos arredondados 4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SpPr/>
      </xdr:nvSpPr>
      <xdr:spPr bwMode="auto">
        <a:xfrm>
          <a:off x="13644843" y="44824"/>
          <a:ext cx="1208618" cy="416174"/>
        </a:xfrm>
        <a:prstGeom prst="roundRect">
          <a:avLst/>
        </a:prstGeom>
        <a:solidFill>
          <a:srgbClr val="0070C0"/>
        </a:solidFill>
        <a:ln>
          <a:noFill/>
          <a:headEnd type="none" w="med" len="med"/>
          <a:tailEnd type="none" w="med" len="med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ADICIONAR </a:t>
          </a:r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PROCESSO</a:t>
          </a:r>
        </a:p>
      </xdr:txBody>
    </xdr:sp>
    <xdr:clientData/>
  </xdr:twoCellAnchor>
  <xdr:twoCellAnchor>
    <xdr:from>
      <xdr:col>17</xdr:col>
      <xdr:colOff>33619</xdr:colOff>
      <xdr:row>6</xdr:row>
      <xdr:rowOff>62253</xdr:rowOff>
    </xdr:from>
    <xdr:to>
      <xdr:col>19</xdr:col>
      <xdr:colOff>23036</xdr:colOff>
      <xdr:row>8</xdr:row>
      <xdr:rowOff>157503</xdr:rowOff>
    </xdr:to>
    <xdr:sp macro="[0]!ADC_JATEAR" textlink="">
      <xdr:nvSpPr>
        <xdr:cNvPr id="6" name="Retângulo de cantos arredondados 6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SpPr/>
      </xdr:nvSpPr>
      <xdr:spPr bwMode="auto">
        <a:xfrm>
          <a:off x="13644844" y="1052853"/>
          <a:ext cx="1208617" cy="419100"/>
        </a:xfrm>
        <a:prstGeom prst="roundRect">
          <a:avLst/>
        </a:prstGeom>
        <a:solidFill>
          <a:srgbClr val="0070C0"/>
        </a:solidFill>
        <a:ln>
          <a:noFill/>
          <a:headEnd type="none" w="med" len="med"/>
          <a:tailEnd type="none" w="med" len="med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ADICIONAR </a:t>
          </a:r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JATEAR</a:t>
          </a:r>
        </a:p>
      </xdr:txBody>
    </xdr:sp>
    <xdr:clientData/>
  </xdr:twoCellAnchor>
  <xdr:twoCellAnchor>
    <xdr:from>
      <xdr:col>17</xdr:col>
      <xdr:colOff>33619</xdr:colOff>
      <xdr:row>3</xdr:row>
      <xdr:rowOff>52916</xdr:rowOff>
    </xdr:from>
    <xdr:to>
      <xdr:col>19</xdr:col>
      <xdr:colOff>23036</xdr:colOff>
      <xdr:row>5</xdr:row>
      <xdr:rowOff>148166</xdr:rowOff>
    </xdr:to>
    <xdr:sp macro="[0]!REMOVE_MAGN" textlink="">
      <xdr:nvSpPr>
        <xdr:cNvPr id="7" name="Retângulo de cantos arredondados 7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SpPr/>
      </xdr:nvSpPr>
      <xdr:spPr bwMode="auto">
        <a:xfrm>
          <a:off x="13644844" y="548216"/>
          <a:ext cx="1208617" cy="419100"/>
        </a:xfrm>
        <a:prstGeom prst="roundRect">
          <a:avLst/>
        </a:prstGeom>
        <a:solidFill>
          <a:srgbClr val="FFC000"/>
        </a:solidFill>
        <a:ln>
          <a:noFill/>
          <a:headEnd type="none" w="med" len="med"/>
          <a:tailEnd type="none" w="med" len="med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REMOVER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MAGNAFLUX</a:t>
          </a:r>
        </a:p>
      </xdr:txBody>
    </xdr:sp>
    <xdr:clientData/>
  </xdr:twoCellAnchor>
  <xdr:twoCellAnchor>
    <xdr:from>
      <xdr:col>14</xdr:col>
      <xdr:colOff>576057</xdr:colOff>
      <xdr:row>2</xdr:row>
      <xdr:rowOff>44825</xdr:rowOff>
    </xdr:from>
    <xdr:to>
      <xdr:col>15</xdr:col>
      <xdr:colOff>14382</xdr:colOff>
      <xdr:row>3</xdr:row>
      <xdr:rowOff>102075</xdr:rowOff>
    </xdr:to>
    <xdr:sp macro="[0]!PRODUÇÃO" textlink="">
      <xdr:nvSpPr>
        <xdr:cNvPr id="10" name="Bisel 8">
          <a:extLst>
            <a:ext uri="{FF2B5EF4-FFF2-40B4-BE49-F238E27FC236}">
              <a16:creationId xmlns:a16="http://schemas.microsoft.com/office/drawing/2014/main" xmlns="" id="{00000000-0008-0000-0C00-00000A000000}"/>
            </a:ext>
          </a:extLst>
        </xdr:cNvPr>
        <xdr:cNvSpPr/>
      </xdr:nvSpPr>
      <xdr:spPr bwMode="auto">
        <a:xfrm>
          <a:off x="11396457" y="378200"/>
          <a:ext cx="190800" cy="219175"/>
        </a:xfrm>
        <a:prstGeom prst="bevel">
          <a:avLst/>
        </a:prstGeom>
        <a:noFill/>
        <a:ln w="6350"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1064571</xdr:colOff>
      <xdr:row>2</xdr:row>
      <xdr:rowOff>44825</xdr:rowOff>
    </xdr:from>
    <xdr:to>
      <xdr:col>12</xdr:col>
      <xdr:colOff>18718</xdr:colOff>
      <xdr:row>3</xdr:row>
      <xdr:rowOff>102075</xdr:rowOff>
    </xdr:to>
    <xdr:sp macro="[0]!PRE_PROJETO" textlink="">
      <xdr:nvSpPr>
        <xdr:cNvPr id="11" name="Bisel 9">
          <a:extLst>
            <a:ext uri="{FF2B5EF4-FFF2-40B4-BE49-F238E27FC236}">
              <a16:creationId xmlns:a16="http://schemas.microsoft.com/office/drawing/2014/main" xmlns="" id="{00000000-0008-0000-0C00-00000B000000}"/>
            </a:ext>
          </a:extLst>
        </xdr:cNvPr>
        <xdr:cNvSpPr/>
      </xdr:nvSpPr>
      <xdr:spPr bwMode="auto">
        <a:xfrm>
          <a:off x="8763012" y="369796"/>
          <a:ext cx="198000" cy="214132"/>
        </a:xfrm>
        <a:prstGeom prst="bevel">
          <a:avLst/>
        </a:prstGeom>
        <a:noFill/>
        <a:ln w="6350"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425826</xdr:colOff>
      <xdr:row>2</xdr:row>
      <xdr:rowOff>43579</xdr:rowOff>
    </xdr:from>
    <xdr:to>
      <xdr:col>9</xdr:col>
      <xdr:colOff>29915</xdr:colOff>
      <xdr:row>3</xdr:row>
      <xdr:rowOff>102697</xdr:rowOff>
    </xdr:to>
    <xdr:sp macro="[0]!PROTÓTIPO" textlink="">
      <xdr:nvSpPr>
        <xdr:cNvPr id="13" name="Bisel 7">
          <a:extLst>
            <a:ext uri="{FF2B5EF4-FFF2-40B4-BE49-F238E27FC236}">
              <a16:creationId xmlns:a16="http://schemas.microsoft.com/office/drawing/2014/main" xmlns="" id="{00000000-0008-0000-0C00-00000D000000}"/>
            </a:ext>
          </a:extLst>
        </xdr:cNvPr>
        <xdr:cNvSpPr/>
      </xdr:nvSpPr>
      <xdr:spPr bwMode="auto">
        <a:xfrm>
          <a:off x="5797926" y="376954"/>
          <a:ext cx="194639" cy="221043"/>
        </a:xfrm>
        <a:prstGeom prst="bevel">
          <a:avLst/>
        </a:prstGeom>
        <a:noFill/>
        <a:ln w="6350"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ela1" displayName="Tabela1" ref="B1:C46" totalsRowShown="0" headerRowDxfId="16" dataDxfId="15">
  <autoFilter ref="B1:C46"/>
  <sortState ref="B2:C46">
    <sortCondition ref="B1:B46"/>
  </sortState>
  <tableColumns count="2">
    <tableColumn id="1" name="PROCESSOS" dataDxfId="14"/>
    <tableColumn id="2" name="MÉTODO DE CONTROLE" dataDxf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ela2" displayName="Tabela2" ref="A1:A4" totalsRowShown="0" headerRowDxfId="12" dataDxfId="11">
  <autoFilter ref="A1:A4"/>
  <tableColumns count="1">
    <tableColumn id="1" name="CARACTERÍSTICAS ESPESCIAIS" dataDxfId="10"/>
  </tableColumns>
  <tableStyleInfo name="TableStyleMedium23" showFirstColumn="0" showLastColumn="0" showRowStripes="1" showColumnStripes="0"/>
</table>
</file>

<file path=xl/tables/table3.xml><?xml version="1.0" encoding="utf-8"?>
<table xmlns="http://schemas.openxmlformats.org/spreadsheetml/2006/main" id="3" name="Tabela3" displayName="Tabela3" ref="D1:D91" totalsRowShown="0" headerRowDxfId="9" dataDxfId="8" dataCellStyle="Normal 2">
  <autoFilter ref="D1:D91"/>
  <sortState ref="D2:D91">
    <sortCondition ref="D1:D91"/>
  </sortState>
  <tableColumns count="1">
    <tableColumn id="1" name="ETM 004" dataDxfId="7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ela4" displayName="Tabela4" ref="E1:E137" totalsRowShown="0" headerRowDxfId="6" dataDxfId="5" dataCellStyle="Normal 2">
  <autoFilter ref="E1:E137"/>
  <sortState ref="E2:E137">
    <sortCondition ref="E1:E137"/>
  </sortState>
  <tableColumns count="1">
    <tableColumn id="1" name="ETM 002" dataDxfId="4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1.xml"/><Relationship Id="rId5" Type="http://schemas.openxmlformats.org/officeDocument/2006/relationships/image" Target="../media/image9.emf"/><Relationship Id="rId4" Type="http://schemas.openxmlformats.org/officeDocument/2006/relationships/package" Target="../embeddings/Microsoft_Word_Document1.docx"/><Relationship Id="rId9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>
    <tabColor theme="3" tint="0.79998168889431442"/>
    <pageSetUpPr fitToPage="1"/>
  </sheetPr>
  <dimension ref="A1:Q53"/>
  <sheetViews>
    <sheetView showGridLines="0" view="pageBreakPreview" zoomScaleNormal="85" zoomScaleSheetLayoutView="100" workbookViewId="0">
      <selection activeCell="A4" sqref="A4:B4"/>
    </sheetView>
  </sheetViews>
  <sheetFormatPr defaultRowHeight="12.75"/>
  <cols>
    <col min="1" max="1" width="14.42578125" customWidth="1"/>
    <col min="2" max="2" width="10.140625" customWidth="1"/>
    <col min="3" max="3" width="11.42578125" customWidth="1"/>
    <col min="4" max="4" width="8.5703125" customWidth="1"/>
    <col min="5" max="5" width="6.28515625" customWidth="1"/>
    <col min="6" max="6" width="6.42578125" customWidth="1"/>
    <col min="7" max="7" width="8.85546875" customWidth="1"/>
    <col min="8" max="8" width="11.42578125" customWidth="1"/>
    <col min="9" max="9" width="8.42578125" customWidth="1"/>
    <col min="10" max="10" width="6.42578125" customWidth="1"/>
    <col min="11" max="11" width="20.140625" customWidth="1"/>
    <col min="12" max="12" width="18.5703125" customWidth="1"/>
    <col min="13" max="13" width="9.28515625" customWidth="1"/>
    <col min="14" max="14" width="18.85546875" customWidth="1"/>
    <col min="15" max="15" width="11.28515625" customWidth="1"/>
    <col min="16" max="16" width="14.85546875" customWidth="1"/>
    <col min="17" max="17" width="15.5703125" customWidth="1"/>
  </cols>
  <sheetData>
    <row r="1" spans="1:17" ht="12.75" customHeight="1">
      <c r="A1" s="212" t="s">
        <v>0</v>
      </c>
      <c r="B1" s="213"/>
      <c r="C1" s="213"/>
      <c r="D1" s="213"/>
      <c r="E1" s="213"/>
      <c r="F1" s="213"/>
      <c r="G1" s="213"/>
      <c r="H1" s="213"/>
      <c r="I1" s="213"/>
      <c r="J1" s="213"/>
      <c r="K1" s="213"/>
      <c r="L1" s="213"/>
      <c r="M1" s="213"/>
      <c r="N1" s="213"/>
      <c r="O1" s="213"/>
      <c r="P1" s="213"/>
      <c r="Q1" s="214"/>
    </row>
    <row r="2" spans="1:17" ht="13.5" customHeight="1" thickBot="1">
      <c r="A2" s="215"/>
      <c r="B2" s="216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7"/>
    </row>
    <row r="3" spans="1:17">
      <c r="A3" s="218" t="s">
        <v>1</v>
      </c>
      <c r="B3" s="219"/>
      <c r="C3" s="3" t="s">
        <v>34</v>
      </c>
      <c r="D3" s="220" t="s">
        <v>2</v>
      </c>
      <c r="E3" s="220"/>
      <c r="F3" s="220"/>
      <c r="G3" s="221" t="s">
        <v>33</v>
      </c>
      <c r="H3" s="222"/>
      <c r="I3" s="242"/>
      <c r="J3" s="244" t="s">
        <v>708</v>
      </c>
      <c r="K3" s="244"/>
      <c r="L3" s="246"/>
      <c r="M3" s="248" t="s">
        <v>710</v>
      </c>
      <c r="N3" s="248"/>
      <c r="O3" s="246" t="s">
        <v>709</v>
      </c>
      <c r="P3" s="250" t="s">
        <v>22</v>
      </c>
      <c r="Q3" s="26" t="s">
        <v>4</v>
      </c>
    </row>
    <row r="4" spans="1:17" ht="15" customHeight="1">
      <c r="A4" s="230"/>
      <c r="B4" s="231"/>
      <c r="C4" s="58"/>
      <c r="D4" s="232"/>
      <c r="E4" s="232"/>
      <c r="F4" s="232"/>
      <c r="G4" s="233"/>
      <c r="H4" s="234"/>
      <c r="I4" s="243"/>
      <c r="J4" s="245"/>
      <c r="K4" s="245"/>
      <c r="L4" s="247"/>
      <c r="M4" s="249"/>
      <c r="N4" s="249"/>
      <c r="O4" s="247"/>
      <c r="P4" s="251"/>
      <c r="Q4" s="59">
        <f ca="1">_xlfn.SHEET()</f>
        <v>1</v>
      </c>
    </row>
    <row r="5" spans="1:17" ht="16.5" customHeight="1">
      <c r="A5" s="228" t="s">
        <v>21</v>
      </c>
      <c r="B5" s="229"/>
      <c r="C5" s="227" t="s">
        <v>3</v>
      </c>
      <c r="D5" s="191"/>
      <c r="E5" s="191"/>
      <c r="F5" s="191"/>
      <c r="G5" s="191"/>
      <c r="H5" s="192"/>
      <c r="I5" s="227" t="s">
        <v>5</v>
      </c>
      <c r="J5" s="191"/>
      <c r="K5" s="191"/>
      <c r="L5" s="192"/>
      <c r="M5" s="227" t="s">
        <v>29</v>
      </c>
      <c r="N5" s="191"/>
      <c r="O5" s="191"/>
      <c r="P5" s="192"/>
      <c r="Q5" s="28" t="s">
        <v>7</v>
      </c>
    </row>
    <row r="6" spans="1:17" ht="13.5" customHeight="1">
      <c r="A6" s="238"/>
      <c r="B6" s="237"/>
      <c r="C6" s="235"/>
      <c r="D6" s="236"/>
      <c r="E6" s="236"/>
      <c r="F6" s="236"/>
      <c r="G6" s="236"/>
      <c r="H6" s="237"/>
      <c r="I6" s="239" t="s">
        <v>6</v>
      </c>
      <c r="J6" s="240"/>
      <c r="K6" s="240"/>
      <c r="L6" s="241"/>
      <c r="M6" s="235"/>
      <c r="N6" s="236"/>
      <c r="O6" s="236"/>
      <c r="P6" s="237"/>
      <c r="Q6" s="57"/>
    </row>
    <row r="7" spans="1:17">
      <c r="A7" s="190" t="s">
        <v>28</v>
      </c>
      <c r="B7" s="191"/>
      <c r="C7" s="191"/>
      <c r="D7" s="191"/>
      <c r="E7" s="191"/>
      <c r="F7" s="191"/>
      <c r="G7" s="191"/>
      <c r="H7" s="191"/>
      <c r="I7" s="191"/>
      <c r="J7" s="191"/>
      <c r="K7" s="191"/>
      <c r="L7" s="191"/>
      <c r="M7" s="191"/>
      <c r="N7" s="191"/>
      <c r="O7" s="191"/>
      <c r="P7" s="192"/>
      <c r="Q7" s="28" t="s">
        <v>8</v>
      </c>
    </row>
    <row r="8" spans="1:17" ht="17.25" customHeight="1">
      <c r="A8" s="193"/>
      <c r="B8" s="194"/>
      <c r="C8" s="194"/>
      <c r="D8" s="194"/>
      <c r="E8" s="194"/>
      <c r="F8" s="194"/>
      <c r="G8" s="194"/>
      <c r="H8" s="194"/>
      <c r="I8" s="194"/>
      <c r="J8" s="194"/>
      <c r="K8" s="194"/>
      <c r="L8" s="194"/>
      <c r="M8" s="194"/>
      <c r="N8" s="194"/>
      <c r="O8" s="194"/>
      <c r="P8" s="195"/>
      <c r="Q8" s="57"/>
    </row>
    <row r="9" spans="1:17" ht="14.25" customHeight="1">
      <c r="A9" s="208" t="s">
        <v>9</v>
      </c>
      <c r="B9" s="223"/>
      <c r="C9" s="223"/>
      <c r="D9" s="223"/>
      <c r="E9" s="223"/>
      <c r="F9" s="223"/>
      <c r="G9" s="186"/>
      <c r="H9" s="224" t="s">
        <v>26</v>
      </c>
      <c r="I9" s="225"/>
      <c r="J9" s="225"/>
      <c r="K9" s="225"/>
      <c r="L9" s="225"/>
      <c r="M9" s="225"/>
      <c r="N9" s="225"/>
      <c r="O9" s="225"/>
      <c r="P9" s="225"/>
      <c r="Q9" s="226"/>
    </row>
    <row r="10" spans="1:17">
      <c r="A10" s="208" t="s">
        <v>10</v>
      </c>
      <c r="B10" s="186"/>
      <c r="C10" s="36" t="s">
        <v>11</v>
      </c>
      <c r="D10" s="185" t="s">
        <v>12</v>
      </c>
      <c r="E10" s="186"/>
      <c r="F10" s="185" t="s">
        <v>11</v>
      </c>
      <c r="G10" s="186"/>
      <c r="H10" s="196"/>
      <c r="I10" s="197"/>
      <c r="J10" s="198"/>
      <c r="K10" s="185" t="s">
        <v>11</v>
      </c>
      <c r="L10" s="186"/>
      <c r="M10" s="187"/>
      <c r="N10" s="188"/>
      <c r="O10" s="189"/>
      <c r="P10" s="40"/>
      <c r="Q10" s="2" t="s">
        <v>11</v>
      </c>
    </row>
    <row r="11" spans="1:17" ht="13.5" thickBot="1">
      <c r="A11" s="202"/>
      <c r="B11" s="203"/>
      <c r="C11" s="60"/>
      <c r="D11" s="204"/>
      <c r="E11" s="203"/>
      <c r="F11" s="204"/>
      <c r="G11" s="203"/>
      <c r="H11" s="209"/>
      <c r="I11" s="210"/>
      <c r="J11" s="211"/>
      <c r="K11" s="204"/>
      <c r="L11" s="203"/>
      <c r="M11" s="205"/>
      <c r="N11" s="206"/>
      <c r="O11" s="207"/>
      <c r="P11" s="61"/>
      <c r="Q11" s="62"/>
    </row>
    <row r="12" spans="1:17" ht="21.95" customHeight="1">
      <c r="A12" s="252" t="s">
        <v>31</v>
      </c>
      <c r="B12" s="254" t="s">
        <v>15</v>
      </c>
      <c r="C12" s="255"/>
      <c r="D12" s="254" t="s">
        <v>758</v>
      </c>
      <c r="E12" s="255"/>
      <c r="F12" s="258" t="s">
        <v>20</v>
      </c>
      <c r="G12" s="258"/>
      <c r="H12" s="258"/>
      <c r="I12" s="258"/>
      <c r="J12" s="258"/>
      <c r="K12" s="199" t="s">
        <v>23</v>
      </c>
      <c r="L12" s="199"/>
      <c r="M12" s="199"/>
      <c r="N12" s="199"/>
      <c r="O12" s="199"/>
      <c r="P12" s="200" t="s">
        <v>711</v>
      </c>
      <c r="Q12" s="172" t="s">
        <v>13</v>
      </c>
    </row>
    <row r="13" spans="1:17" ht="21.95" customHeight="1">
      <c r="A13" s="253"/>
      <c r="B13" s="256"/>
      <c r="C13" s="257"/>
      <c r="D13" s="256"/>
      <c r="E13" s="257"/>
      <c r="F13" s="39" t="s">
        <v>17</v>
      </c>
      <c r="G13" s="174" t="s">
        <v>750</v>
      </c>
      <c r="H13" s="174"/>
      <c r="I13" s="174" t="s">
        <v>751</v>
      </c>
      <c r="J13" s="174"/>
      <c r="K13" s="1" t="s">
        <v>752</v>
      </c>
      <c r="L13" s="1" t="s">
        <v>30</v>
      </c>
      <c r="M13" s="1" t="s">
        <v>24</v>
      </c>
      <c r="N13" s="1" t="s">
        <v>27</v>
      </c>
      <c r="O13" s="1" t="s">
        <v>14</v>
      </c>
      <c r="P13" s="201"/>
      <c r="Q13" s="173"/>
    </row>
    <row r="14" spans="1:17" ht="12.6" customHeight="1">
      <c r="A14" s="164">
        <v>5</v>
      </c>
      <c r="B14" s="137" t="s">
        <v>707</v>
      </c>
      <c r="C14" s="137"/>
      <c r="D14" s="138"/>
      <c r="E14" s="139"/>
      <c r="F14" s="150" t="str">
        <f>IF(OR(G14&lt;&gt;"",I14&lt;&gt;""),$A$14&amp;"."&amp;(ROW(G14)-12)/2,"")</f>
        <v>5.1</v>
      </c>
      <c r="G14" s="142" t="s">
        <v>764</v>
      </c>
      <c r="H14" s="143"/>
      <c r="I14" s="175"/>
      <c r="J14" s="176"/>
      <c r="K14" s="146" t="s">
        <v>77</v>
      </c>
      <c r="L14" s="179" t="s">
        <v>78</v>
      </c>
      <c r="M14" s="166">
        <v>1</v>
      </c>
      <c r="N14" s="146" t="str">
        <f>IF(F14="","","POR GR (GUIA DE RECEBIMENTO)")</f>
        <v>POR GR (GUIA DE RECEBIMENTO)</v>
      </c>
      <c r="O14" s="146" t="s">
        <v>91</v>
      </c>
      <c r="P14" s="148" t="s">
        <v>43</v>
      </c>
      <c r="Q14" s="152" t="str">
        <f>IF(F14&lt;&gt;"","IT 9.4.9.","")</f>
        <v>IT 9.4.9.</v>
      </c>
    </row>
    <row r="15" spans="1:17" ht="20.25" customHeight="1">
      <c r="A15" s="164"/>
      <c r="B15" s="137"/>
      <c r="C15" s="137"/>
      <c r="D15" s="140"/>
      <c r="E15" s="141"/>
      <c r="F15" s="150"/>
      <c r="G15" s="144"/>
      <c r="H15" s="145"/>
      <c r="I15" s="177"/>
      <c r="J15" s="178"/>
      <c r="K15" s="147"/>
      <c r="L15" s="180"/>
      <c r="M15" s="167"/>
      <c r="N15" s="147"/>
      <c r="O15" s="147"/>
      <c r="P15" s="149"/>
      <c r="Q15" s="153"/>
    </row>
    <row r="16" spans="1:17" ht="12.6" customHeight="1">
      <c r="A16" s="164"/>
      <c r="B16" s="165"/>
      <c r="C16" s="165"/>
      <c r="D16" s="165"/>
      <c r="E16" s="165"/>
      <c r="F16" s="150" t="str">
        <f>IF(OR(G16&lt;&gt;"",I16&lt;&gt;""),$A$14&amp;"."&amp;(ROW(G16)-12)/2,"")</f>
        <v>5.2</v>
      </c>
      <c r="G16" s="142" t="s">
        <v>79</v>
      </c>
      <c r="H16" s="143"/>
      <c r="I16" s="181"/>
      <c r="J16" s="182"/>
      <c r="K16" s="146" t="s">
        <v>77</v>
      </c>
      <c r="L16" s="146" t="s">
        <v>39</v>
      </c>
      <c r="M16" s="166">
        <v>1</v>
      </c>
      <c r="N16" s="146" t="str">
        <f>IF(G16="","","POR GR (GUIA DE RECEBIMENTO)")</f>
        <v>POR GR (GUIA DE RECEBIMENTO)</v>
      </c>
      <c r="O16" s="146" t="s">
        <v>91</v>
      </c>
      <c r="P16" s="148" t="s">
        <v>43</v>
      </c>
      <c r="Q16" s="152" t="str">
        <f>IF(F16&lt;&gt;"","IT 9.4.9.","")</f>
        <v>IT 9.4.9.</v>
      </c>
    </row>
    <row r="17" spans="1:17" ht="12.6" customHeight="1">
      <c r="A17" s="164"/>
      <c r="B17" s="165"/>
      <c r="C17" s="165"/>
      <c r="D17" s="165"/>
      <c r="E17" s="165"/>
      <c r="F17" s="150"/>
      <c r="G17" s="144"/>
      <c r="H17" s="145"/>
      <c r="I17" s="183"/>
      <c r="J17" s="184"/>
      <c r="K17" s="147"/>
      <c r="L17" s="147"/>
      <c r="M17" s="167"/>
      <c r="N17" s="147"/>
      <c r="O17" s="147"/>
      <c r="P17" s="149"/>
      <c r="Q17" s="153"/>
    </row>
    <row r="18" spans="1:17" ht="12.6" customHeight="1">
      <c r="A18" s="164"/>
      <c r="B18" s="165"/>
      <c r="C18" s="165"/>
      <c r="D18" s="165"/>
      <c r="E18" s="165"/>
      <c r="F18" s="150" t="str">
        <f>IF(OR(G18&lt;&gt;"",I18&lt;&gt;""),$A$14&amp;"."&amp;(ROW(G18)-12)/2,"")</f>
        <v>5.3</v>
      </c>
      <c r="G18" s="142" t="s">
        <v>80</v>
      </c>
      <c r="H18" s="143"/>
      <c r="I18" s="142"/>
      <c r="J18" s="143"/>
      <c r="K18" s="146" t="str">
        <f>IF(OR($A$4="VESTAS",$A$4="GAMESA",$A$4="ACCIONA"),"CONF. ETM 192","CONF. ETM 007")</f>
        <v>CONF. ETM 007</v>
      </c>
      <c r="L18" s="146" t="s">
        <v>48</v>
      </c>
      <c r="M18" s="166">
        <v>1</v>
      </c>
      <c r="N18" s="146" t="str">
        <f>IF(G18="","","POR GR (GUIA DE RECEBIMENTO)")</f>
        <v>POR GR (GUIA DE RECEBIMENTO)</v>
      </c>
      <c r="O18" s="146" t="s">
        <v>91</v>
      </c>
      <c r="P18" s="148" t="s">
        <v>43</v>
      </c>
      <c r="Q18" s="152" t="str">
        <f>IF(F18&lt;&gt;"","IT 9.4.9.","")</f>
        <v>IT 9.4.9.</v>
      </c>
    </row>
    <row r="19" spans="1:17" ht="12.6" customHeight="1">
      <c r="A19" s="164"/>
      <c r="B19" s="165"/>
      <c r="C19" s="165"/>
      <c r="D19" s="165"/>
      <c r="E19" s="165"/>
      <c r="F19" s="150"/>
      <c r="G19" s="144"/>
      <c r="H19" s="145"/>
      <c r="I19" s="144"/>
      <c r="J19" s="145"/>
      <c r="K19" s="147"/>
      <c r="L19" s="147"/>
      <c r="M19" s="167"/>
      <c r="N19" s="147"/>
      <c r="O19" s="147"/>
      <c r="P19" s="149"/>
      <c r="Q19" s="153"/>
    </row>
    <row r="20" spans="1:17" ht="12.6" customHeight="1">
      <c r="A20" s="164"/>
      <c r="B20" s="165"/>
      <c r="C20" s="165"/>
      <c r="D20" s="165"/>
      <c r="E20" s="165"/>
      <c r="F20" s="150" t="str">
        <f>IF(OR(G20&lt;&gt;"",I20&lt;&gt;""),$A$14&amp;"."&amp;(ROW(G20)-12)/2,"")</f>
        <v>5.4</v>
      </c>
      <c r="G20" s="138" t="s">
        <v>81</v>
      </c>
      <c r="H20" s="139"/>
      <c r="I20" s="142"/>
      <c r="J20" s="143"/>
      <c r="K20" s="146" t="s">
        <v>77</v>
      </c>
      <c r="L20" s="146" t="s">
        <v>82</v>
      </c>
      <c r="M20" s="166">
        <v>1</v>
      </c>
      <c r="N20" s="146" t="str">
        <f>IF(G20="","","POR GR (GUIA DE RECEBIMENTO)")</f>
        <v>POR GR (GUIA DE RECEBIMENTO)</v>
      </c>
      <c r="O20" s="146" t="s">
        <v>91</v>
      </c>
      <c r="P20" s="148" t="s">
        <v>43</v>
      </c>
      <c r="Q20" s="152" t="str">
        <f>IF(F20&lt;&gt;"","IT 9.4.9.","")</f>
        <v>IT 9.4.9.</v>
      </c>
    </row>
    <row r="21" spans="1:17" ht="12.6" customHeight="1">
      <c r="A21" s="164"/>
      <c r="B21" s="165"/>
      <c r="C21" s="165"/>
      <c r="D21" s="165"/>
      <c r="E21" s="165"/>
      <c r="F21" s="150"/>
      <c r="G21" s="140"/>
      <c r="H21" s="141"/>
      <c r="I21" s="144"/>
      <c r="J21" s="145"/>
      <c r="K21" s="147"/>
      <c r="L21" s="147"/>
      <c r="M21" s="167"/>
      <c r="N21" s="147"/>
      <c r="O21" s="147"/>
      <c r="P21" s="149"/>
      <c r="Q21" s="153"/>
    </row>
    <row r="22" spans="1:17" ht="12.6" customHeight="1">
      <c r="A22" s="164"/>
      <c r="B22" s="165"/>
      <c r="C22" s="165"/>
      <c r="D22" s="165"/>
      <c r="E22" s="165"/>
      <c r="F22" s="150" t="str">
        <f>IF(OR(G22&lt;&gt;"",I22&lt;&gt;""),$A$14&amp;"."&amp;(ROW(G22)-12)/2,"")</f>
        <v>5.5</v>
      </c>
      <c r="G22" s="142" t="s">
        <v>83</v>
      </c>
      <c r="H22" s="143"/>
      <c r="I22" s="142"/>
      <c r="J22" s="143"/>
      <c r="K22" s="146" t="str">
        <f>IF(OR($A$4="VESTAS",$A$4="GAMESA",$A$4="ACCIONA"),"CONF. ETM 192","CONF. ETM 007")</f>
        <v>CONF. ETM 007</v>
      </c>
      <c r="L22" s="146" t="s">
        <v>48</v>
      </c>
      <c r="M22" s="166">
        <v>1</v>
      </c>
      <c r="N22" s="146" t="str">
        <f>IF(G22="","","POR GR (GUIA DE RECEBIMENTO)")</f>
        <v>POR GR (GUIA DE RECEBIMENTO)</v>
      </c>
      <c r="O22" s="146" t="s">
        <v>91</v>
      </c>
      <c r="P22" s="148" t="s">
        <v>43</v>
      </c>
      <c r="Q22" s="152" t="str">
        <f>IF(F22&lt;&gt;"","IT 9.4.9.","")</f>
        <v>IT 9.4.9.</v>
      </c>
    </row>
    <row r="23" spans="1:17" ht="12.6" customHeight="1">
      <c r="A23" s="164"/>
      <c r="B23" s="165"/>
      <c r="C23" s="165"/>
      <c r="D23" s="165"/>
      <c r="E23" s="165"/>
      <c r="F23" s="150"/>
      <c r="G23" s="144"/>
      <c r="H23" s="145"/>
      <c r="I23" s="144"/>
      <c r="J23" s="145"/>
      <c r="K23" s="147"/>
      <c r="L23" s="147"/>
      <c r="M23" s="167"/>
      <c r="N23" s="147"/>
      <c r="O23" s="147"/>
      <c r="P23" s="149"/>
      <c r="Q23" s="153"/>
    </row>
    <row r="24" spans="1:17" ht="12.6" customHeight="1">
      <c r="A24" s="164"/>
      <c r="B24" s="165"/>
      <c r="C24" s="165"/>
      <c r="D24" s="165"/>
      <c r="E24" s="165"/>
      <c r="F24" s="150" t="str">
        <f>IF(OR(G24&lt;&gt;"",I24&lt;&gt;""),$A$14&amp;"."&amp;(ROW(G24)-12)/2,"")</f>
        <v>5.6</v>
      </c>
      <c r="G24" s="168" t="s">
        <v>84</v>
      </c>
      <c r="H24" s="169"/>
      <c r="I24" s="165"/>
      <c r="J24" s="165"/>
      <c r="K24" s="146" t="str">
        <f>IF(OR($A$4="VESTAS",$A$4="GAMESA",$A$4="ACCIONA"),"CONF. ETM 192","CONF. ETM 007")</f>
        <v>CONF. ETM 007</v>
      </c>
      <c r="L24" s="146" t="s">
        <v>333</v>
      </c>
      <c r="M24" s="166">
        <v>1</v>
      </c>
      <c r="N24" s="146" t="str">
        <f>IF(G24="","","POR GR (GUIA DE RECEBIMENTO)")</f>
        <v>POR GR (GUIA DE RECEBIMENTO)</v>
      </c>
      <c r="O24" s="146" t="s">
        <v>91</v>
      </c>
      <c r="P24" s="148" t="s">
        <v>43</v>
      </c>
      <c r="Q24" s="152" t="str">
        <f>IF(F24&lt;&gt;"","IT 9.4.9.","")</f>
        <v>IT 9.4.9.</v>
      </c>
    </row>
    <row r="25" spans="1:17" ht="24.75" customHeight="1">
      <c r="A25" s="164"/>
      <c r="B25" s="165"/>
      <c r="C25" s="165"/>
      <c r="D25" s="165"/>
      <c r="E25" s="165"/>
      <c r="F25" s="150"/>
      <c r="G25" s="170"/>
      <c r="H25" s="171"/>
      <c r="I25" s="165"/>
      <c r="J25" s="165"/>
      <c r="K25" s="147"/>
      <c r="L25" s="147"/>
      <c r="M25" s="167"/>
      <c r="N25" s="147"/>
      <c r="O25" s="147"/>
      <c r="P25" s="149"/>
      <c r="Q25" s="153"/>
    </row>
    <row r="26" spans="1:17" ht="20.25" customHeight="1">
      <c r="A26" s="164"/>
      <c r="B26" s="165"/>
      <c r="C26" s="165"/>
      <c r="D26" s="165"/>
      <c r="E26" s="165"/>
      <c r="F26" s="150" t="str">
        <f>IF(OR(G26&lt;&gt;"",I26&lt;&gt;""),$A$14&amp;"."&amp;(ROW(G26)-12)/2,"")</f>
        <v>5.7</v>
      </c>
      <c r="G26" s="138" t="s">
        <v>85</v>
      </c>
      <c r="H26" s="139"/>
      <c r="I26" s="165"/>
      <c r="J26" s="165"/>
      <c r="K26" s="146" t="str">
        <f>IF(OR($A$4="VESTAS",$A$4="GAMESA",$A$4="ACCIONA"),"CONF. ETM 192","CONF. ETM 007")</f>
        <v>CONF. ETM 007</v>
      </c>
      <c r="L26" s="146" t="s">
        <v>706</v>
      </c>
      <c r="M26" s="166">
        <v>1</v>
      </c>
      <c r="N26" s="146" t="str">
        <f>IF(G26="","","POR GR (GUIA DE RECEBIMENTO)")</f>
        <v>POR GR (GUIA DE RECEBIMENTO)</v>
      </c>
      <c r="O26" s="146" t="s">
        <v>91</v>
      </c>
      <c r="P26" s="148" t="s">
        <v>43</v>
      </c>
      <c r="Q26" s="152" t="str">
        <f>IF(F26&lt;&gt;"","IT 9.4.9.","")</f>
        <v>IT 9.4.9.</v>
      </c>
    </row>
    <row r="27" spans="1:17" ht="19.5" customHeight="1">
      <c r="A27" s="164"/>
      <c r="B27" s="165"/>
      <c r="C27" s="165"/>
      <c r="D27" s="165"/>
      <c r="E27" s="165"/>
      <c r="F27" s="150"/>
      <c r="G27" s="140"/>
      <c r="H27" s="141"/>
      <c r="I27" s="165"/>
      <c r="J27" s="165"/>
      <c r="K27" s="147"/>
      <c r="L27" s="147"/>
      <c r="M27" s="167"/>
      <c r="N27" s="147"/>
      <c r="O27" s="147"/>
      <c r="P27" s="149"/>
      <c r="Q27" s="153"/>
    </row>
    <row r="28" spans="1:17" ht="12.6" customHeight="1">
      <c r="A28" s="164"/>
      <c r="B28" s="165"/>
      <c r="C28" s="165"/>
      <c r="D28" s="165"/>
      <c r="E28" s="165"/>
      <c r="F28" s="150" t="str">
        <f>IF(OR(G28&lt;&gt;"",I28&lt;&gt;""),$A$14&amp;"."&amp;(ROW(G28)-12)/2,"")</f>
        <v>5.8</v>
      </c>
      <c r="G28" s="165" t="s">
        <v>86</v>
      </c>
      <c r="H28" s="165"/>
      <c r="I28" s="165"/>
      <c r="J28" s="165"/>
      <c r="K28" s="146" t="str">
        <f>IF(OR($A$4="VESTAS",$A$4="GAMESA",$A$4="ACCIONA"),"CONF. ETM 192","CONF. ETM 007")</f>
        <v>CONF. ETM 007</v>
      </c>
      <c r="L28" s="146" t="s">
        <v>333</v>
      </c>
      <c r="M28" s="166">
        <v>1</v>
      </c>
      <c r="N28" s="146" t="str">
        <f>IF(G28="","","POR GR (GUIA DE RECEBIMENTO)")</f>
        <v>POR GR (GUIA DE RECEBIMENTO)</v>
      </c>
      <c r="O28" s="146" t="s">
        <v>91</v>
      </c>
      <c r="P28" s="148" t="s">
        <v>43</v>
      </c>
      <c r="Q28" s="152" t="str">
        <f>IF(F28&lt;&gt;"","IT 9.4.9.","")</f>
        <v>IT 9.4.9.</v>
      </c>
    </row>
    <row r="29" spans="1:17" ht="12.6" customHeight="1">
      <c r="A29" s="164"/>
      <c r="B29" s="165"/>
      <c r="C29" s="165"/>
      <c r="D29" s="165"/>
      <c r="E29" s="165"/>
      <c r="F29" s="150"/>
      <c r="G29" s="165"/>
      <c r="H29" s="165"/>
      <c r="I29" s="165"/>
      <c r="J29" s="165"/>
      <c r="K29" s="147"/>
      <c r="L29" s="147"/>
      <c r="M29" s="167"/>
      <c r="N29" s="147"/>
      <c r="O29" s="147"/>
      <c r="P29" s="149"/>
      <c r="Q29" s="153"/>
    </row>
    <row r="30" spans="1:17" ht="12.6" customHeight="1">
      <c r="A30" s="164"/>
      <c r="B30" s="165"/>
      <c r="C30" s="165"/>
      <c r="D30" s="165"/>
      <c r="E30" s="165"/>
      <c r="F30" s="150" t="str">
        <f>IF(OR(G30&lt;&gt;"",I30&lt;&gt;""),$A$14&amp;"."&amp;(ROW(G30)-12)/2,"")</f>
        <v>5.9</v>
      </c>
      <c r="G30" s="165" t="s">
        <v>87</v>
      </c>
      <c r="H30" s="165"/>
      <c r="I30" s="165"/>
      <c r="J30" s="165"/>
      <c r="K30" s="146" t="str">
        <f>IF(OR($A$4="VESTAS",$A$4="GAMESA",$A$4="ACCIONA"),"CONF. ETM 192","CONF. ETM 007")</f>
        <v>CONF. ETM 007</v>
      </c>
      <c r="L30" s="146" t="s">
        <v>333</v>
      </c>
      <c r="M30" s="166">
        <v>1</v>
      </c>
      <c r="N30" s="146" t="str">
        <f>IF(G30="","","POR GR (GUIA DE RECEBIMENTO)")</f>
        <v>POR GR (GUIA DE RECEBIMENTO)</v>
      </c>
      <c r="O30" s="146" t="s">
        <v>91</v>
      </c>
      <c r="P30" s="148" t="s">
        <v>43</v>
      </c>
      <c r="Q30" s="152" t="str">
        <f>IF(F30&lt;&gt;"","IT 9.4.9.","")</f>
        <v>IT 9.4.9.</v>
      </c>
    </row>
    <row r="31" spans="1:17" ht="12.6" customHeight="1">
      <c r="A31" s="164"/>
      <c r="B31" s="165"/>
      <c r="C31" s="165"/>
      <c r="D31" s="165"/>
      <c r="E31" s="165"/>
      <c r="F31" s="150"/>
      <c r="G31" s="165"/>
      <c r="H31" s="165"/>
      <c r="I31" s="165"/>
      <c r="J31" s="165"/>
      <c r="K31" s="147"/>
      <c r="L31" s="147"/>
      <c r="M31" s="167"/>
      <c r="N31" s="147"/>
      <c r="O31" s="147"/>
      <c r="P31" s="149"/>
      <c r="Q31" s="153"/>
    </row>
    <row r="32" spans="1:17" ht="12.6" customHeight="1">
      <c r="A32" s="136"/>
      <c r="B32" s="137"/>
      <c r="C32" s="137"/>
      <c r="D32" s="137"/>
      <c r="E32" s="137"/>
      <c r="F32" s="150" t="str">
        <f>IF(OR(G32&lt;&gt;"",I32&lt;&gt;""),$A$14&amp;"."&amp;(ROW(G32)-12)/2,"")</f>
        <v>5.10</v>
      </c>
      <c r="G32" s="138" t="s">
        <v>88</v>
      </c>
      <c r="H32" s="139"/>
      <c r="I32" s="142"/>
      <c r="J32" s="143"/>
      <c r="K32" s="146" t="str">
        <f>IF(OR($A$4="VESTAS",$A$4="GAMESA",$A$4="ACCIONA"),"CONF. ETM 192","CONF. ETM 007")</f>
        <v>CONF. ETM 007</v>
      </c>
      <c r="L32" s="146" t="s">
        <v>333</v>
      </c>
      <c r="M32" s="137">
        <v>1</v>
      </c>
      <c r="N32" s="146" t="str">
        <f>IF(G32="","","POR GR (GUIA DE RECEBIMENTO)")</f>
        <v>POR GR (GUIA DE RECEBIMENTO)</v>
      </c>
      <c r="O32" s="146" t="s">
        <v>91</v>
      </c>
      <c r="P32" s="148" t="s">
        <v>43</v>
      </c>
      <c r="Q32" s="152" t="str">
        <f>IF(F32&lt;&gt;"","IT 9.4.9.","")</f>
        <v>IT 9.4.9.</v>
      </c>
    </row>
    <row r="33" spans="1:17" ht="12.6" customHeight="1">
      <c r="A33" s="136"/>
      <c r="B33" s="137"/>
      <c r="C33" s="137"/>
      <c r="D33" s="137"/>
      <c r="E33" s="137"/>
      <c r="F33" s="150"/>
      <c r="G33" s="140"/>
      <c r="H33" s="141"/>
      <c r="I33" s="144"/>
      <c r="J33" s="145"/>
      <c r="K33" s="147"/>
      <c r="L33" s="147"/>
      <c r="M33" s="137"/>
      <c r="N33" s="147"/>
      <c r="O33" s="147"/>
      <c r="P33" s="149"/>
      <c r="Q33" s="153"/>
    </row>
    <row r="34" spans="1:17" ht="12.6" customHeight="1">
      <c r="A34" s="136"/>
      <c r="B34" s="137"/>
      <c r="C34" s="137"/>
      <c r="D34" s="137"/>
      <c r="E34" s="137"/>
      <c r="F34" s="150" t="str">
        <f>IF(OR(G34&lt;&gt;"",I34&lt;&gt;""),$A$14&amp;"."&amp;(ROW(G34)-12)/2,"")</f>
        <v>5.11</v>
      </c>
      <c r="G34" s="142" t="s">
        <v>89</v>
      </c>
      <c r="H34" s="143"/>
      <c r="I34" s="142"/>
      <c r="J34" s="143"/>
      <c r="K34" s="146" t="str">
        <f>IF(OR($A$4="VESTAS",$A$4="GAMESA",$A$4="ACCIONA"),"CONF. ETM 192","CONF. ETM 007")</f>
        <v>CONF. ETM 007</v>
      </c>
      <c r="L34" s="146" t="s">
        <v>333</v>
      </c>
      <c r="M34" s="137">
        <v>1</v>
      </c>
      <c r="N34" s="146" t="str">
        <f>IF(G34="","","POR GR (GUIA DE RECEBIMENTO)")</f>
        <v>POR GR (GUIA DE RECEBIMENTO)</v>
      </c>
      <c r="O34" s="146" t="s">
        <v>91</v>
      </c>
      <c r="P34" s="148" t="s">
        <v>43</v>
      </c>
      <c r="Q34" s="152" t="str">
        <f>IF(F34&lt;&gt;"","IT 9.4.9.","")</f>
        <v>IT 9.4.9.</v>
      </c>
    </row>
    <row r="35" spans="1:17" ht="12.6" customHeight="1">
      <c r="A35" s="136"/>
      <c r="B35" s="137"/>
      <c r="C35" s="137"/>
      <c r="D35" s="137"/>
      <c r="E35" s="137"/>
      <c r="F35" s="150"/>
      <c r="G35" s="144"/>
      <c r="H35" s="145"/>
      <c r="I35" s="144"/>
      <c r="J35" s="145"/>
      <c r="K35" s="147"/>
      <c r="L35" s="147"/>
      <c r="M35" s="137"/>
      <c r="N35" s="147"/>
      <c r="O35" s="147"/>
      <c r="P35" s="149"/>
      <c r="Q35" s="153"/>
    </row>
    <row r="36" spans="1:17" ht="12.6" customHeight="1">
      <c r="A36" s="136"/>
      <c r="B36" s="137"/>
      <c r="C36" s="137"/>
      <c r="D36" s="137"/>
      <c r="E36" s="137"/>
      <c r="F36" s="150" t="str">
        <f>IF(OR(G36&lt;&gt;"",I36&lt;&gt;""),$A$14&amp;"."&amp;(ROW(G36)-12)/2,"")</f>
        <v>5.12</v>
      </c>
      <c r="G36" s="138" t="s">
        <v>90</v>
      </c>
      <c r="H36" s="139"/>
      <c r="I36" s="138"/>
      <c r="J36" s="139"/>
      <c r="K36" s="146" t="str">
        <f>IF(OR($A$4="VESTAS",$A$4="GAMESA",$A$4="ACCIONA"),"CONF. ETM 192","CONF. ETM 007")</f>
        <v>CONF. ETM 007</v>
      </c>
      <c r="L36" s="146" t="s">
        <v>333</v>
      </c>
      <c r="M36" s="137">
        <v>1</v>
      </c>
      <c r="N36" s="146" t="str">
        <f>IF(G36="","","POR GR (GUIA DE RECEBIMENTO)")</f>
        <v>POR GR (GUIA DE RECEBIMENTO)</v>
      </c>
      <c r="O36" s="146" t="s">
        <v>91</v>
      </c>
      <c r="P36" s="148" t="s">
        <v>43</v>
      </c>
      <c r="Q36" s="152" t="str">
        <f>IF(F36&lt;&gt;"","IT 9.4.9.","")</f>
        <v>IT 9.4.9.</v>
      </c>
    </row>
    <row r="37" spans="1:17" ht="12.6" customHeight="1">
      <c r="A37" s="136"/>
      <c r="B37" s="137"/>
      <c r="C37" s="137"/>
      <c r="D37" s="137"/>
      <c r="E37" s="137"/>
      <c r="F37" s="150"/>
      <c r="G37" s="140"/>
      <c r="H37" s="141"/>
      <c r="I37" s="140"/>
      <c r="J37" s="141"/>
      <c r="K37" s="147"/>
      <c r="L37" s="147"/>
      <c r="M37" s="137"/>
      <c r="N37" s="147"/>
      <c r="O37" s="147"/>
      <c r="P37" s="149"/>
      <c r="Q37" s="153"/>
    </row>
    <row r="38" spans="1:17" ht="12.6" customHeight="1">
      <c r="A38" s="136"/>
      <c r="B38" s="137"/>
      <c r="C38" s="137"/>
      <c r="D38" s="137"/>
      <c r="E38" s="137"/>
      <c r="F38" s="150" t="str">
        <f>IF(OR(G38&lt;&gt;"",I38&lt;&gt;""),$A$14&amp;"."&amp;(ROW(G38)-12)/2,"")</f>
        <v/>
      </c>
      <c r="G38" s="138"/>
      <c r="H38" s="139"/>
      <c r="I38" s="137"/>
      <c r="J38" s="137"/>
      <c r="K38" s="146"/>
      <c r="L38" s="146"/>
      <c r="M38" s="137"/>
      <c r="N38" s="146" t="str">
        <f>IF(G38="","","POR GR (GUIA DE RECEBIMENTO)")</f>
        <v/>
      </c>
      <c r="O38" s="137"/>
      <c r="P38" s="137"/>
      <c r="Q38" s="152" t="str">
        <f>IF(F38&lt;&gt;"","IT 9.4.9.","")</f>
        <v/>
      </c>
    </row>
    <row r="39" spans="1:17" ht="12.6" customHeight="1">
      <c r="A39" s="136"/>
      <c r="B39" s="137"/>
      <c r="C39" s="137"/>
      <c r="D39" s="137"/>
      <c r="E39" s="137"/>
      <c r="F39" s="150"/>
      <c r="G39" s="140"/>
      <c r="H39" s="141"/>
      <c r="I39" s="137"/>
      <c r="J39" s="137"/>
      <c r="K39" s="147"/>
      <c r="L39" s="147"/>
      <c r="M39" s="137"/>
      <c r="N39" s="147"/>
      <c r="O39" s="137"/>
      <c r="P39" s="137"/>
      <c r="Q39" s="153"/>
    </row>
    <row r="40" spans="1:17" ht="12.6" customHeight="1">
      <c r="A40" s="136"/>
      <c r="B40" s="137"/>
      <c r="C40" s="137"/>
      <c r="D40" s="137"/>
      <c r="E40" s="137"/>
      <c r="F40" s="150" t="str">
        <f>IF(OR(G40&lt;&gt;"",I40&lt;&gt;""),$A$14&amp;"."&amp;(ROW(G40)-12)/2,"")</f>
        <v/>
      </c>
      <c r="G40" s="138"/>
      <c r="H40" s="139"/>
      <c r="I40" s="137"/>
      <c r="J40" s="137"/>
      <c r="K40" s="146"/>
      <c r="L40" s="146"/>
      <c r="M40" s="137"/>
      <c r="N40" s="146" t="str">
        <f>IF(G40="","","POR GR (GUIA DE RECEBIMENTO)")</f>
        <v/>
      </c>
      <c r="O40" s="137"/>
      <c r="P40" s="137"/>
      <c r="Q40" s="152" t="str">
        <f>IF(F40&lt;&gt;"","IT 9.4.9.","")</f>
        <v/>
      </c>
    </row>
    <row r="41" spans="1:17" ht="12.6" customHeight="1">
      <c r="A41" s="136"/>
      <c r="B41" s="137"/>
      <c r="C41" s="137"/>
      <c r="D41" s="137"/>
      <c r="E41" s="137"/>
      <c r="F41" s="150"/>
      <c r="G41" s="140"/>
      <c r="H41" s="141"/>
      <c r="I41" s="137"/>
      <c r="J41" s="137"/>
      <c r="K41" s="147"/>
      <c r="L41" s="147"/>
      <c r="M41" s="137"/>
      <c r="N41" s="147"/>
      <c r="O41" s="137"/>
      <c r="P41" s="137"/>
      <c r="Q41" s="153"/>
    </row>
    <row r="42" spans="1:17" ht="12.6" customHeight="1">
      <c r="A42" s="136"/>
      <c r="B42" s="137"/>
      <c r="C42" s="137"/>
      <c r="D42" s="137"/>
      <c r="E42" s="137"/>
      <c r="F42" s="150" t="str">
        <f>IF(OR(G42&lt;&gt;"",I42&lt;&gt;""),$A$14&amp;"."&amp;(ROW(G42)-12)/2,"")</f>
        <v/>
      </c>
      <c r="G42" s="137"/>
      <c r="H42" s="137"/>
      <c r="I42" s="137"/>
      <c r="J42" s="137"/>
      <c r="K42" s="146"/>
      <c r="L42" s="137"/>
      <c r="M42" s="137"/>
      <c r="N42" s="146" t="str">
        <f>IF(G42="","","POR GR (GUIA DE RECEBIMENTO)")</f>
        <v/>
      </c>
      <c r="O42" s="137"/>
      <c r="P42" s="137"/>
      <c r="Q42" s="152" t="str">
        <f>IF(F42&lt;&gt;"","IT 9.4.9.","")</f>
        <v/>
      </c>
    </row>
    <row r="43" spans="1:17" ht="12.6" customHeight="1">
      <c r="A43" s="136"/>
      <c r="B43" s="137"/>
      <c r="C43" s="137"/>
      <c r="D43" s="137"/>
      <c r="E43" s="137"/>
      <c r="F43" s="150"/>
      <c r="G43" s="137"/>
      <c r="H43" s="137"/>
      <c r="I43" s="137"/>
      <c r="J43" s="137"/>
      <c r="K43" s="147"/>
      <c r="L43" s="137"/>
      <c r="M43" s="137"/>
      <c r="N43" s="147"/>
      <c r="O43" s="137"/>
      <c r="P43" s="137"/>
      <c r="Q43" s="153"/>
    </row>
    <row r="44" spans="1:17" ht="12.6" customHeight="1">
      <c r="A44" s="136"/>
      <c r="B44" s="137"/>
      <c r="C44" s="137"/>
      <c r="D44" s="137"/>
      <c r="E44" s="137"/>
      <c r="F44" s="150" t="str">
        <f>IF(OR(G44&lt;&gt;"",I44&lt;&gt;""),$A$14&amp;"."&amp;(ROW(G44)-12)/2,"")</f>
        <v/>
      </c>
      <c r="G44" s="137"/>
      <c r="H44" s="137"/>
      <c r="I44" s="137"/>
      <c r="J44" s="137"/>
      <c r="K44" s="137"/>
      <c r="L44" s="137"/>
      <c r="M44" s="137"/>
      <c r="N44" s="146" t="str">
        <f>IF(G44="","","POR GR (GUIA DE RECEBIMENTO)")</f>
        <v/>
      </c>
      <c r="O44" s="137"/>
      <c r="P44" s="137"/>
      <c r="Q44" s="152" t="str">
        <f>IF(F44&lt;&gt;"","IT 9.4.9.","")</f>
        <v/>
      </c>
    </row>
    <row r="45" spans="1:17" ht="12.6" customHeight="1">
      <c r="A45" s="163"/>
      <c r="B45" s="146"/>
      <c r="C45" s="146"/>
      <c r="D45" s="146"/>
      <c r="E45" s="146"/>
      <c r="F45" s="150"/>
      <c r="G45" s="146"/>
      <c r="H45" s="146"/>
      <c r="I45" s="146"/>
      <c r="J45" s="146"/>
      <c r="K45" s="146"/>
      <c r="L45" s="146"/>
      <c r="M45" s="146"/>
      <c r="N45" s="147"/>
      <c r="O45" s="146"/>
      <c r="P45" s="146"/>
      <c r="Q45" s="153"/>
    </row>
    <row r="46" spans="1:17" ht="12.6" customHeight="1">
      <c r="A46" s="136"/>
      <c r="B46" s="137"/>
      <c r="C46" s="137"/>
      <c r="D46" s="137"/>
      <c r="E46" s="137"/>
      <c r="F46" s="150" t="str">
        <f>IF(OR(G46&lt;&gt;"",I46&lt;&gt;""),$A$14&amp;"."&amp;(ROW(G46)-12)/2,"")</f>
        <v/>
      </c>
      <c r="G46" s="137"/>
      <c r="H46" s="137"/>
      <c r="I46" s="137"/>
      <c r="J46" s="137"/>
      <c r="K46" s="137"/>
      <c r="L46" s="137"/>
      <c r="M46" s="137"/>
      <c r="N46" s="146" t="str">
        <f>IF(G46="","","POR GR (GUIA DE RECEBIMENTO)")</f>
        <v/>
      </c>
      <c r="O46" s="137"/>
      <c r="P46" s="137"/>
      <c r="Q46" s="152" t="str">
        <f>IF(F46&lt;&gt;"","IT 9.4.9.","")</f>
        <v/>
      </c>
    </row>
    <row r="47" spans="1:17" ht="12.6" customHeight="1" thickBot="1">
      <c r="A47" s="136"/>
      <c r="B47" s="137"/>
      <c r="C47" s="137"/>
      <c r="D47" s="137"/>
      <c r="E47" s="137"/>
      <c r="F47" s="150"/>
      <c r="G47" s="137"/>
      <c r="H47" s="137"/>
      <c r="I47" s="137"/>
      <c r="J47" s="137"/>
      <c r="K47" s="137"/>
      <c r="L47" s="137"/>
      <c r="M47" s="137"/>
      <c r="N47" s="147"/>
      <c r="O47" s="137"/>
      <c r="P47" s="137"/>
      <c r="Q47" s="153"/>
    </row>
    <row r="48" spans="1:17" ht="12.6" customHeight="1">
      <c r="A48" s="157" t="s">
        <v>53</v>
      </c>
      <c r="B48" s="158"/>
      <c r="C48" s="158"/>
      <c r="D48" s="158"/>
      <c r="E48" s="159"/>
      <c r="F48" s="150" t="str">
        <f>IF(OR(G48&lt;&gt;"",I48&lt;&gt;""),$A$14&amp;"."&amp;(ROW(G48)-12)/2,"")</f>
        <v/>
      </c>
      <c r="G48" s="137"/>
      <c r="H48" s="137"/>
      <c r="I48" s="137"/>
      <c r="J48" s="137"/>
      <c r="K48" s="137"/>
      <c r="L48" s="137"/>
      <c r="M48" s="137"/>
      <c r="N48" s="146" t="str">
        <f>IF(G48="","","POR GR (GUIA DE RECEBIMENTO)")</f>
        <v/>
      </c>
      <c r="O48" s="137"/>
      <c r="P48" s="137"/>
      <c r="Q48" s="152" t="str">
        <f>IF(F48&lt;&gt;"","IT 9.4.9.","")</f>
        <v/>
      </c>
    </row>
    <row r="49" spans="1:17" ht="12.6" customHeight="1">
      <c r="A49" s="160"/>
      <c r="B49" s="161"/>
      <c r="C49" s="161"/>
      <c r="D49" s="161"/>
      <c r="E49" s="162"/>
      <c r="F49" s="150"/>
      <c r="G49" s="137"/>
      <c r="H49" s="137"/>
      <c r="I49" s="137"/>
      <c r="J49" s="137"/>
      <c r="K49" s="137"/>
      <c r="L49" s="137"/>
      <c r="M49" s="137"/>
      <c r="N49" s="147"/>
      <c r="O49" s="137"/>
      <c r="P49" s="137"/>
      <c r="Q49" s="153"/>
    </row>
    <row r="50" spans="1:17" ht="12.6" customHeight="1">
      <c r="A50" s="83" t="s">
        <v>43</v>
      </c>
      <c r="B50" s="154" t="s">
        <v>54</v>
      </c>
      <c r="C50" s="155"/>
      <c r="D50" s="155"/>
      <c r="E50" s="156"/>
      <c r="F50" s="150" t="str">
        <f>IF(OR(G50&lt;&gt;"",I50&lt;&gt;""),$A$14&amp;"."&amp;(ROW(G50)-12)/2,"")</f>
        <v/>
      </c>
      <c r="G50" s="137"/>
      <c r="H50" s="137"/>
      <c r="I50" s="137"/>
      <c r="J50" s="137"/>
      <c r="K50" s="137"/>
      <c r="L50" s="137"/>
      <c r="M50" s="137"/>
      <c r="N50" s="146" t="str">
        <f>IF(G50="","","POR GR (GUIA DE RECEBIMENTO)")</f>
        <v/>
      </c>
      <c r="O50" s="137"/>
      <c r="P50" s="137"/>
      <c r="Q50" s="152" t="str">
        <f>IF(F50&lt;&gt;"","IT 9.4.9.","")</f>
        <v/>
      </c>
    </row>
    <row r="51" spans="1:17" ht="12.6" customHeight="1">
      <c r="A51" s="83" t="s">
        <v>55</v>
      </c>
      <c r="B51" s="154" t="s">
        <v>56</v>
      </c>
      <c r="C51" s="155"/>
      <c r="D51" s="155"/>
      <c r="E51" s="156"/>
      <c r="F51" s="150"/>
      <c r="G51" s="137"/>
      <c r="H51" s="137"/>
      <c r="I51" s="137"/>
      <c r="J51" s="137"/>
      <c r="K51" s="137"/>
      <c r="L51" s="137"/>
      <c r="M51" s="137"/>
      <c r="N51" s="147"/>
      <c r="O51" s="137"/>
      <c r="P51" s="137"/>
      <c r="Q51" s="153"/>
    </row>
    <row r="52" spans="1:17" ht="12.6" customHeight="1">
      <c r="A52" s="83" t="s">
        <v>52</v>
      </c>
      <c r="B52" s="154" t="s">
        <v>57</v>
      </c>
      <c r="C52" s="155"/>
      <c r="D52" s="155"/>
      <c r="E52" s="156"/>
      <c r="F52" s="150" t="str">
        <f>IF(OR(G52&lt;&gt;"",I52&lt;&gt;""),$A$14&amp;"."&amp;(ROW(G52)-12)/2,"")</f>
        <v/>
      </c>
      <c r="G52" s="137"/>
      <c r="H52" s="137"/>
      <c r="I52" s="137"/>
      <c r="J52" s="137"/>
      <c r="K52" s="137"/>
      <c r="L52" s="137"/>
      <c r="M52" s="137"/>
      <c r="N52" s="137" t="str">
        <f>IF(G52="","","POR GR (GUIA DE RECEBIMENTO)")</f>
        <v/>
      </c>
      <c r="O52" s="137"/>
      <c r="P52" s="137"/>
      <c r="Q52" s="152" t="str">
        <f>IF(F52&lt;&gt;"","IT 9.4.9.","")</f>
        <v/>
      </c>
    </row>
    <row r="53" spans="1:17" ht="12.6" customHeight="1" thickBot="1">
      <c r="A53" s="84"/>
      <c r="B53" s="85"/>
      <c r="C53" s="85"/>
      <c r="D53" s="85"/>
      <c r="E53" s="86"/>
      <c r="F53" s="150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3"/>
    </row>
  </sheetData>
  <sheetProtection sheet="1" formatCells="0" formatRows="0" insertRows="0" insertHyperlinks="0" deleteRows="0"/>
  <protectedRanges>
    <protectedRange sqref="Q4 O3:O4 L3:L4 I3:I4 A4:H4 A6:Q6 A8:Q8 A11:Q11 A14:E17 G14:Q53" name="Intervalo2"/>
  </protectedRanges>
  <dataConsolidate/>
  <mergeCells count="301">
    <mergeCell ref="P40:P41"/>
    <mergeCell ref="P42:P43"/>
    <mergeCell ref="P50:P51"/>
    <mergeCell ref="P46:P47"/>
    <mergeCell ref="P48:P49"/>
    <mergeCell ref="I48:J49"/>
    <mergeCell ref="I50:J51"/>
    <mergeCell ref="K48:K49"/>
    <mergeCell ref="K50:K51"/>
    <mergeCell ref="K46:K47"/>
    <mergeCell ref="L46:L47"/>
    <mergeCell ref="L44:L45"/>
    <mergeCell ref="M42:M43"/>
    <mergeCell ref="L42:L43"/>
    <mergeCell ref="Q50:Q51"/>
    <mergeCell ref="Q46:Q47"/>
    <mergeCell ref="Q48:Q49"/>
    <mergeCell ref="O50:O51"/>
    <mergeCell ref="O46:O47"/>
    <mergeCell ref="O48:O49"/>
    <mergeCell ref="L48:L49"/>
    <mergeCell ref="L50:L51"/>
    <mergeCell ref="M46:M47"/>
    <mergeCell ref="M48:M49"/>
    <mergeCell ref="M50:M51"/>
    <mergeCell ref="N46:N47"/>
    <mergeCell ref="N48:N49"/>
    <mergeCell ref="N50:N51"/>
    <mergeCell ref="G46:H47"/>
    <mergeCell ref="K11:L11"/>
    <mergeCell ref="A12:A13"/>
    <mergeCell ref="A16:A17"/>
    <mergeCell ref="B16:C17"/>
    <mergeCell ref="D16:E17"/>
    <mergeCell ref="F16:F17"/>
    <mergeCell ref="G16:H17"/>
    <mergeCell ref="K16:K17"/>
    <mergeCell ref="A18:A19"/>
    <mergeCell ref="B18:C19"/>
    <mergeCell ref="D18:E19"/>
    <mergeCell ref="F18:F19"/>
    <mergeCell ref="G18:H19"/>
    <mergeCell ref="I18:J19"/>
    <mergeCell ref="B12:C13"/>
    <mergeCell ref="D12:E13"/>
    <mergeCell ref="F12:J12"/>
    <mergeCell ref="A14:A15"/>
    <mergeCell ref="I46:J47"/>
    <mergeCell ref="B14:C15"/>
    <mergeCell ref="D14:E15"/>
    <mergeCell ref="F14:F15"/>
    <mergeCell ref="G14:H15"/>
    <mergeCell ref="A1:Q2"/>
    <mergeCell ref="A3:B3"/>
    <mergeCell ref="D3:F3"/>
    <mergeCell ref="G3:H3"/>
    <mergeCell ref="A9:G9"/>
    <mergeCell ref="H9:Q9"/>
    <mergeCell ref="C5:H5"/>
    <mergeCell ref="A5:B5"/>
    <mergeCell ref="A4:B4"/>
    <mergeCell ref="D4:F4"/>
    <mergeCell ref="G4:H4"/>
    <mergeCell ref="C6:H6"/>
    <mergeCell ref="I5:L5"/>
    <mergeCell ref="M5:P5"/>
    <mergeCell ref="A6:B6"/>
    <mergeCell ref="I6:L6"/>
    <mergeCell ref="M6:P6"/>
    <mergeCell ref="I3:I4"/>
    <mergeCell ref="J3:K4"/>
    <mergeCell ref="L3:L4"/>
    <mergeCell ref="M3:N4"/>
    <mergeCell ref="O3:O4"/>
    <mergeCell ref="P3:P4"/>
    <mergeCell ref="K10:L10"/>
    <mergeCell ref="M10:O10"/>
    <mergeCell ref="A7:P7"/>
    <mergeCell ref="A8:P8"/>
    <mergeCell ref="F10:G10"/>
    <mergeCell ref="H10:J10"/>
    <mergeCell ref="K12:O12"/>
    <mergeCell ref="P12:P13"/>
    <mergeCell ref="A11:B11"/>
    <mergeCell ref="D11:E11"/>
    <mergeCell ref="F11:G11"/>
    <mergeCell ref="M11:O11"/>
    <mergeCell ref="D10:E10"/>
    <mergeCell ref="A10:B10"/>
    <mergeCell ref="H11:J11"/>
    <mergeCell ref="Q12:Q13"/>
    <mergeCell ref="G13:H13"/>
    <mergeCell ref="I13:J13"/>
    <mergeCell ref="L16:L17"/>
    <mergeCell ref="P16:P17"/>
    <mergeCell ref="Q18:Q19"/>
    <mergeCell ref="O16:O17"/>
    <mergeCell ref="N18:N19"/>
    <mergeCell ref="O18:O19"/>
    <mergeCell ref="I14:J15"/>
    <mergeCell ref="K14:K15"/>
    <mergeCell ref="Q14:Q15"/>
    <mergeCell ref="P14:P15"/>
    <mergeCell ref="O14:O15"/>
    <mergeCell ref="L14:L15"/>
    <mergeCell ref="M14:M15"/>
    <mergeCell ref="N14:N15"/>
    <mergeCell ref="P18:P19"/>
    <mergeCell ref="M16:M17"/>
    <mergeCell ref="N16:N17"/>
    <mergeCell ref="Q16:Q17"/>
    <mergeCell ref="I16:J17"/>
    <mergeCell ref="Q24:Q25"/>
    <mergeCell ref="G22:H23"/>
    <mergeCell ref="I22:J23"/>
    <mergeCell ref="L18:L19"/>
    <mergeCell ref="M18:M19"/>
    <mergeCell ref="A22:A23"/>
    <mergeCell ref="D22:E23"/>
    <mergeCell ref="F22:F23"/>
    <mergeCell ref="K22:K23"/>
    <mergeCell ref="K18:K19"/>
    <mergeCell ref="A20:A21"/>
    <mergeCell ref="D20:E21"/>
    <mergeCell ref="F20:F21"/>
    <mergeCell ref="G20:H21"/>
    <mergeCell ref="I20:J21"/>
    <mergeCell ref="K20:K21"/>
    <mergeCell ref="B20:C21"/>
    <mergeCell ref="B22:C23"/>
    <mergeCell ref="P22:P23"/>
    <mergeCell ref="Q22:Q23"/>
    <mergeCell ref="L20:L21"/>
    <mergeCell ref="M20:M21"/>
    <mergeCell ref="P20:P21"/>
    <mergeCell ref="Q20:Q21"/>
    <mergeCell ref="L22:L23"/>
    <mergeCell ref="M22:M23"/>
    <mergeCell ref="N22:N23"/>
    <mergeCell ref="O22:O23"/>
    <mergeCell ref="N20:N21"/>
    <mergeCell ref="O20:O21"/>
    <mergeCell ref="A26:A27"/>
    <mergeCell ref="D26:E27"/>
    <mergeCell ref="F26:F27"/>
    <mergeCell ref="N26:N27"/>
    <mergeCell ref="O26:O27"/>
    <mergeCell ref="G26:H27"/>
    <mergeCell ref="M26:M27"/>
    <mergeCell ref="O24:O25"/>
    <mergeCell ref="I26:J27"/>
    <mergeCell ref="K26:K27"/>
    <mergeCell ref="L26:L27"/>
    <mergeCell ref="B26:C27"/>
    <mergeCell ref="P24:P25"/>
    <mergeCell ref="A24:A25"/>
    <mergeCell ref="D24:E25"/>
    <mergeCell ref="F24:F25"/>
    <mergeCell ref="G24:H25"/>
    <mergeCell ref="I24:J25"/>
    <mergeCell ref="K24:K25"/>
    <mergeCell ref="L24:L25"/>
    <mergeCell ref="M24:M25"/>
    <mergeCell ref="N24:N25"/>
    <mergeCell ref="B24:C25"/>
    <mergeCell ref="Q28:Q29"/>
    <mergeCell ref="Q26:Q27"/>
    <mergeCell ref="N28:N29"/>
    <mergeCell ref="P34:P35"/>
    <mergeCell ref="Q34:Q35"/>
    <mergeCell ref="Q32:Q33"/>
    <mergeCell ref="L32:L33"/>
    <mergeCell ref="O28:O29"/>
    <mergeCell ref="P28:P29"/>
    <mergeCell ref="P26:P27"/>
    <mergeCell ref="A28:A29"/>
    <mergeCell ref="B28:C29"/>
    <mergeCell ref="D28:E29"/>
    <mergeCell ref="F28:F29"/>
    <mergeCell ref="I28:J29"/>
    <mergeCell ref="M30:M31"/>
    <mergeCell ref="N30:N31"/>
    <mergeCell ref="L30:L31"/>
    <mergeCell ref="K30:K31"/>
    <mergeCell ref="I30:J31"/>
    <mergeCell ref="G30:H31"/>
    <mergeCell ref="M28:M29"/>
    <mergeCell ref="F30:F31"/>
    <mergeCell ref="A30:A31"/>
    <mergeCell ref="B30:C31"/>
    <mergeCell ref="D30:E31"/>
    <mergeCell ref="K28:K29"/>
    <mergeCell ref="L28:L29"/>
    <mergeCell ref="G28:H29"/>
    <mergeCell ref="G40:H41"/>
    <mergeCell ref="I40:J41"/>
    <mergeCell ref="K40:K41"/>
    <mergeCell ref="O38:O39"/>
    <mergeCell ref="N40:N41"/>
    <mergeCell ref="Q30:Q31"/>
    <mergeCell ref="A36:A37"/>
    <mergeCell ref="B36:C37"/>
    <mergeCell ref="D36:E37"/>
    <mergeCell ref="F36:F37"/>
    <mergeCell ref="G36:H37"/>
    <mergeCell ref="I36:J37"/>
    <mergeCell ref="K36:K37"/>
    <mergeCell ref="M36:M37"/>
    <mergeCell ref="N36:N37"/>
    <mergeCell ref="L36:L37"/>
    <mergeCell ref="P30:P31"/>
    <mergeCell ref="O30:O31"/>
    <mergeCell ref="N32:N33"/>
    <mergeCell ref="O32:O33"/>
    <mergeCell ref="O36:O37"/>
    <mergeCell ref="N34:N35"/>
    <mergeCell ref="A32:A33"/>
    <mergeCell ref="B32:C33"/>
    <mergeCell ref="Q36:Q37"/>
    <mergeCell ref="P36:P37"/>
    <mergeCell ref="D38:E39"/>
    <mergeCell ref="F38:F39"/>
    <mergeCell ref="O40:O41"/>
    <mergeCell ref="A44:A45"/>
    <mergeCell ref="B44:C45"/>
    <mergeCell ref="D44:E45"/>
    <mergeCell ref="F44:F45"/>
    <mergeCell ref="O44:O45"/>
    <mergeCell ref="M44:M45"/>
    <mergeCell ref="N44:N45"/>
    <mergeCell ref="G44:H45"/>
    <mergeCell ref="I44:J45"/>
    <mergeCell ref="K44:K45"/>
    <mergeCell ref="N42:N43"/>
    <mergeCell ref="A42:A43"/>
    <mergeCell ref="B42:C43"/>
    <mergeCell ref="A40:A41"/>
    <mergeCell ref="F40:F41"/>
    <mergeCell ref="I38:J39"/>
    <mergeCell ref="K38:K39"/>
    <mergeCell ref="L38:L39"/>
    <mergeCell ref="M38:M39"/>
    <mergeCell ref="B40:C41"/>
    <mergeCell ref="B52:E52"/>
    <mergeCell ref="F52:F53"/>
    <mergeCell ref="D42:E43"/>
    <mergeCell ref="F42:F43"/>
    <mergeCell ref="F48:F49"/>
    <mergeCell ref="F50:F51"/>
    <mergeCell ref="B50:E50"/>
    <mergeCell ref="D40:E41"/>
    <mergeCell ref="B51:E51"/>
    <mergeCell ref="A48:E49"/>
    <mergeCell ref="A46:A47"/>
    <mergeCell ref="B46:C47"/>
    <mergeCell ref="D46:E47"/>
    <mergeCell ref="F46:F47"/>
    <mergeCell ref="P52:P53"/>
    <mergeCell ref="Q52:Q53"/>
    <mergeCell ref="K52:K53"/>
    <mergeCell ref="L52:L53"/>
    <mergeCell ref="M52:M53"/>
    <mergeCell ref="N52:N53"/>
    <mergeCell ref="I52:J53"/>
    <mergeCell ref="O52:O53"/>
    <mergeCell ref="G38:H39"/>
    <mergeCell ref="G52:H53"/>
    <mergeCell ref="G48:H49"/>
    <mergeCell ref="G50:H51"/>
    <mergeCell ref="O42:O43"/>
    <mergeCell ref="G42:H43"/>
    <mergeCell ref="I42:J43"/>
    <mergeCell ref="K42:K43"/>
    <mergeCell ref="Q42:Q43"/>
    <mergeCell ref="L40:L41"/>
    <mergeCell ref="M40:M41"/>
    <mergeCell ref="Q44:Q45"/>
    <mergeCell ref="P44:P45"/>
    <mergeCell ref="Q40:Q41"/>
    <mergeCell ref="Q38:Q39"/>
    <mergeCell ref="N38:N39"/>
    <mergeCell ref="A38:A39"/>
    <mergeCell ref="B38:C39"/>
    <mergeCell ref="M32:M33"/>
    <mergeCell ref="G32:H33"/>
    <mergeCell ref="I32:J33"/>
    <mergeCell ref="K32:K33"/>
    <mergeCell ref="P32:P33"/>
    <mergeCell ref="F34:F35"/>
    <mergeCell ref="F32:F33"/>
    <mergeCell ref="D32:E33"/>
    <mergeCell ref="A34:A35"/>
    <mergeCell ref="B34:C35"/>
    <mergeCell ref="D34:E35"/>
    <mergeCell ref="G34:H35"/>
    <mergeCell ref="L34:L35"/>
    <mergeCell ref="I34:J35"/>
    <mergeCell ref="K34:K35"/>
    <mergeCell ref="M34:M35"/>
    <mergeCell ref="O34:O35"/>
    <mergeCell ref="P38:P39"/>
  </mergeCells>
  <phoneticPr fontId="0" type="noConversion"/>
  <conditionalFormatting sqref="D4:F4">
    <cfRule type="cellIs" dxfId="34" priority="2" stopIfTrue="1" operator="equal">
      <formula>0</formula>
    </cfRule>
  </conditionalFormatting>
  <pageMargins left="0.39370078740157483" right="0.19685039370078741" top="0.23622047244094488" bottom="0.15748031496062992" header="0.43307086614173229" footer="0.15748031496062992"/>
  <pageSetup paperSize="9" scale="71" fitToHeight="0" orientation="landscape" r:id="rId1"/>
  <headerFooter alignWithMargins="0">
    <oddFooter>&amp;LForm152- Rev 05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DADOS!$A$2:$A$4</xm:f>
          </x14:formula1>
          <xm:sqref>P14:P53</xm:sqref>
        </x14:dataValidation>
        <x14:dataValidation type="list" allowBlank="1" showInputMessage="1" showErrorMessage="1">
          <x14:formula1>
            <xm:f>DADOS!$B:$B</xm:f>
          </x14:formula1>
          <xm:sqref>B14:C15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>
    <tabColor theme="3" tint="0.79998168889431442"/>
    <pageSetUpPr fitToPage="1"/>
  </sheetPr>
  <dimension ref="A1:U65"/>
  <sheetViews>
    <sheetView showGridLines="0" view="pageBreakPreview" zoomScaleNormal="90" zoomScaleSheetLayoutView="100" workbookViewId="0">
      <selection activeCell="I3" sqref="I3:P4"/>
    </sheetView>
  </sheetViews>
  <sheetFormatPr defaultRowHeight="12.75"/>
  <cols>
    <col min="1" max="1" width="14.42578125" style="25" customWidth="1"/>
    <col min="2" max="2" width="10.140625" style="25" customWidth="1"/>
    <col min="3" max="3" width="12.28515625" style="25" customWidth="1"/>
    <col min="4" max="4" width="9.28515625" style="25" customWidth="1"/>
    <col min="5" max="5" width="7.7109375" style="25" customWidth="1"/>
    <col min="6" max="6" width="6.42578125" style="25" customWidth="1"/>
    <col min="7" max="7" width="8.85546875" style="25" customWidth="1"/>
    <col min="8" max="8" width="11.42578125" style="25" customWidth="1"/>
    <col min="9" max="9" width="8.85546875" style="25" customWidth="1"/>
    <col min="10" max="10" width="11.42578125" style="25" customWidth="1"/>
    <col min="11" max="11" width="20.140625" style="25" customWidth="1"/>
    <col min="12" max="12" width="18.5703125" style="25" customWidth="1"/>
    <col min="13" max="13" width="9.28515625" style="25" customWidth="1"/>
    <col min="14" max="14" width="18.85546875" style="25" customWidth="1"/>
    <col min="15" max="15" width="11.28515625" style="25" customWidth="1"/>
    <col min="16" max="16" width="15" style="25" customWidth="1"/>
    <col min="17" max="17" width="15.5703125" style="25" customWidth="1"/>
    <col min="18" max="16384" width="9.140625" style="25"/>
  </cols>
  <sheetData>
    <row r="1" spans="1:21" ht="12.75" customHeight="1">
      <c r="A1" s="212" t="s">
        <v>0</v>
      </c>
      <c r="B1" s="213"/>
      <c r="C1" s="213"/>
      <c r="D1" s="213"/>
      <c r="E1" s="213"/>
      <c r="F1" s="213"/>
      <c r="G1" s="213"/>
      <c r="H1" s="213"/>
      <c r="I1" s="213"/>
      <c r="J1" s="213"/>
      <c r="K1" s="213"/>
      <c r="L1" s="213"/>
      <c r="M1" s="213"/>
      <c r="N1" s="213"/>
      <c r="O1" s="213"/>
      <c r="P1" s="213"/>
      <c r="Q1" s="214"/>
    </row>
    <row r="2" spans="1:21" ht="13.5" customHeight="1" thickBot="1">
      <c r="A2" s="215"/>
      <c r="B2" s="216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7"/>
      <c r="U2" s="41"/>
    </row>
    <row r="3" spans="1:21" ht="12.75" customHeight="1">
      <c r="A3" s="218" t="s">
        <v>1</v>
      </c>
      <c r="B3" s="219"/>
      <c r="C3" s="3" t="s">
        <v>34</v>
      </c>
      <c r="D3" s="220" t="s">
        <v>2</v>
      </c>
      <c r="E3" s="220"/>
      <c r="F3" s="220"/>
      <c r="G3" s="221" t="s">
        <v>33</v>
      </c>
      <c r="H3" s="222"/>
      <c r="I3" s="262" t="str">
        <f>IF('MATERIA PRIMA'!I3:I4="","",'MATERIA PRIMA'!I3:I4)</f>
        <v/>
      </c>
      <c r="J3" s="244" t="s">
        <v>708</v>
      </c>
      <c r="K3" s="244"/>
      <c r="L3" s="271" t="str">
        <f>IF('MATERIA PRIMA'!L3:L4="","",'MATERIA PRIMA'!L3:L4)</f>
        <v/>
      </c>
      <c r="M3" s="248" t="s">
        <v>710</v>
      </c>
      <c r="N3" s="248"/>
      <c r="O3" s="271" t="str">
        <f>IF('MATERIA PRIMA'!O3:O4="","",'MATERIA PRIMA'!O3:O4)</f>
        <v>X</v>
      </c>
      <c r="P3" s="250" t="s">
        <v>22</v>
      </c>
      <c r="Q3" s="26" t="s">
        <v>4</v>
      </c>
      <c r="U3" s="42"/>
    </row>
    <row r="4" spans="1:21" ht="12.75" customHeight="1">
      <c r="A4" s="277" t="str">
        <f>IF('MATERIA PRIMA'!A4:B4="","",'MATERIA PRIMA'!A4:B4)</f>
        <v/>
      </c>
      <c r="B4" s="278"/>
      <c r="C4" s="27" t="str">
        <f>IF('MATERIA PRIMA'!C4="","",'MATERIA PRIMA'!C4)</f>
        <v/>
      </c>
      <c r="D4" s="279" t="str">
        <f>IF('MATERIA PRIMA'!D4:F4="","",'MATERIA PRIMA'!D4:F4)</f>
        <v/>
      </c>
      <c r="E4" s="280"/>
      <c r="F4" s="280"/>
      <c r="G4" s="239" t="str">
        <f>IF('MATERIA PRIMA'!G4:H4="","",'MATERIA PRIMA'!G4:H4)</f>
        <v/>
      </c>
      <c r="H4" s="241"/>
      <c r="I4" s="263"/>
      <c r="J4" s="245"/>
      <c r="K4" s="245"/>
      <c r="L4" s="272"/>
      <c r="M4" s="249"/>
      <c r="N4" s="249"/>
      <c r="O4" s="272"/>
      <c r="P4" s="251"/>
      <c r="Q4" s="56">
        <f ca="1">_xlfn.SHEET()</f>
        <v>2</v>
      </c>
      <c r="U4" s="41"/>
    </row>
    <row r="5" spans="1:21">
      <c r="A5" s="228" t="s">
        <v>21</v>
      </c>
      <c r="B5" s="229"/>
      <c r="C5" s="227" t="s">
        <v>3</v>
      </c>
      <c r="D5" s="191"/>
      <c r="E5" s="191"/>
      <c r="F5" s="191"/>
      <c r="G5" s="191"/>
      <c r="H5" s="192"/>
      <c r="I5" s="227" t="s">
        <v>5</v>
      </c>
      <c r="J5" s="191"/>
      <c r="K5" s="191"/>
      <c r="L5" s="192"/>
      <c r="M5" s="227" t="s">
        <v>29</v>
      </c>
      <c r="N5" s="191"/>
      <c r="O5" s="191"/>
      <c r="P5" s="192"/>
      <c r="Q5" s="28" t="s">
        <v>7</v>
      </c>
      <c r="U5" s="42"/>
    </row>
    <row r="6" spans="1:21" ht="13.5" customHeight="1">
      <c r="A6" s="273" t="str">
        <f>IF('MATERIA PRIMA'!A6:B6="","",'MATERIA PRIMA'!A6:B6)</f>
        <v/>
      </c>
      <c r="B6" s="274"/>
      <c r="C6" s="275" t="str">
        <f>IF('MATERIA PRIMA'!C6:H6="","",'MATERIA PRIMA'!C6:H6)</f>
        <v/>
      </c>
      <c r="D6" s="276"/>
      <c r="E6" s="276"/>
      <c r="F6" s="276"/>
      <c r="G6" s="276"/>
      <c r="H6" s="274"/>
      <c r="I6" s="239" t="s">
        <v>6</v>
      </c>
      <c r="J6" s="240"/>
      <c r="K6" s="240"/>
      <c r="L6" s="241"/>
      <c r="M6" s="275" t="str">
        <f>IF('MATERIA PRIMA'!M6:P6="","",'MATERIA PRIMA'!M6:P6)</f>
        <v/>
      </c>
      <c r="N6" s="276"/>
      <c r="O6" s="276"/>
      <c r="P6" s="274"/>
      <c r="Q6" s="38" t="str">
        <f>IF('MATERIA PRIMA'!Q6="","",'MATERIA PRIMA'!Q6)</f>
        <v/>
      </c>
      <c r="U6" s="41"/>
    </row>
    <row r="7" spans="1:21">
      <c r="A7" s="190" t="s">
        <v>28</v>
      </c>
      <c r="B7" s="191"/>
      <c r="C7" s="191"/>
      <c r="D7" s="191"/>
      <c r="E7" s="191"/>
      <c r="F7" s="191"/>
      <c r="G7" s="191"/>
      <c r="H7" s="191"/>
      <c r="I7" s="191"/>
      <c r="J7" s="191"/>
      <c r="K7" s="191"/>
      <c r="L7" s="191"/>
      <c r="M7" s="191"/>
      <c r="N7" s="191"/>
      <c r="O7" s="191"/>
      <c r="P7" s="192"/>
      <c r="Q7" s="28" t="s">
        <v>8</v>
      </c>
      <c r="U7" s="42"/>
    </row>
    <row r="8" spans="1:21" ht="12.75" customHeight="1">
      <c r="A8" s="266" t="str">
        <f>IF('MATERIA PRIMA'!A8:P8="","",'MATERIA PRIMA'!A8:P8)</f>
        <v/>
      </c>
      <c r="B8" s="267"/>
      <c r="C8" s="267"/>
      <c r="D8" s="267"/>
      <c r="E8" s="267"/>
      <c r="F8" s="267"/>
      <c r="G8" s="267"/>
      <c r="H8" s="267"/>
      <c r="I8" s="267"/>
      <c r="J8" s="267"/>
      <c r="K8" s="267"/>
      <c r="L8" s="267"/>
      <c r="M8" s="267"/>
      <c r="N8" s="267"/>
      <c r="O8" s="267"/>
      <c r="P8" s="268"/>
      <c r="Q8" s="38" t="str">
        <f>IF('MATERIA PRIMA'!Q8="","",'MATERIA PRIMA'!Q8)</f>
        <v/>
      </c>
      <c r="U8" s="41"/>
    </row>
    <row r="9" spans="1:21" ht="14.25" customHeight="1">
      <c r="A9" s="208" t="s">
        <v>9</v>
      </c>
      <c r="B9" s="223"/>
      <c r="C9" s="223"/>
      <c r="D9" s="223"/>
      <c r="E9" s="223"/>
      <c r="F9" s="223"/>
      <c r="G9" s="186"/>
      <c r="H9" s="224" t="s">
        <v>26</v>
      </c>
      <c r="I9" s="225"/>
      <c r="J9" s="225"/>
      <c r="K9" s="225"/>
      <c r="L9" s="225"/>
      <c r="M9" s="225"/>
      <c r="N9" s="225"/>
      <c r="O9" s="225"/>
      <c r="P9" s="225"/>
      <c r="Q9" s="226"/>
      <c r="U9" s="42"/>
    </row>
    <row r="10" spans="1:21">
      <c r="A10" s="208" t="s">
        <v>10</v>
      </c>
      <c r="B10" s="186"/>
      <c r="C10" s="36" t="s">
        <v>11</v>
      </c>
      <c r="D10" s="185" t="s">
        <v>12</v>
      </c>
      <c r="E10" s="186"/>
      <c r="F10" s="185" t="s">
        <v>11</v>
      </c>
      <c r="G10" s="186"/>
      <c r="H10" s="196"/>
      <c r="I10" s="197"/>
      <c r="J10" s="198"/>
      <c r="K10" s="185" t="s">
        <v>11</v>
      </c>
      <c r="L10" s="186"/>
      <c r="M10" s="187"/>
      <c r="N10" s="188"/>
      <c r="O10" s="189"/>
      <c r="P10" s="46"/>
      <c r="Q10" s="2" t="s">
        <v>11</v>
      </c>
      <c r="U10" s="41"/>
    </row>
    <row r="11" spans="1:21" ht="13.5" thickBot="1">
      <c r="A11" s="202"/>
      <c r="B11" s="203"/>
      <c r="C11" s="60"/>
      <c r="D11" s="204"/>
      <c r="E11" s="203"/>
      <c r="F11" s="204"/>
      <c r="G11" s="203"/>
      <c r="H11" s="209"/>
      <c r="I11" s="210"/>
      <c r="J11" s="211"/>
      <c r="K11" s="204"/>
      <c r="L11" s="203"/>
      <c r="M11" s="205"/>
      <c r="N11" s="206"/>
      <c r="O11" s="207"/>
      <c r="P11" s="61"/>
      <c r="Q11" s="62"/>
      <c r="U11" s="42"/>
    </row>
    <row r="12" spans="1:21">
      <c r="A12" s="282" t="s">
        <v>760</v>
      </c>
      <c r="B12" s="284" t="s">
        <v>759</v>
      </c>
      <c r="C12" s="285"/>
      <c r="D12" s="284" t="s">
        <v>758</v>
      </c>
      <c r="E12" s="285"/>
      <c r="F12" s="258" t="s">
        <v>20</v>
      </c>
      <c r="G12" s="258"/>
      <c r="H12" s="258"/>
      <c r="I12" s="258"/>
      <c r="J12" s="258"/>
      <c r="K12" s="289" t="s">
        <v>23</v>
      </c>
      <c r="L12" s="289"/>
      <c r="M12" s="289"/>
      <c r="N12" s="289"/>
      <c r="O12" s="289"/>
      <c r="P12" s="269" t="s">
        <v>711</v>
      </c>
      <c r="Q12" s="264" t="s">
        <v>757</v>
      </c>
      <c r="U12" s="41"/>
    </row>
    <row r="13" spans="1:21" ht="22.5" customHeight="1">
      <c r="A13" s="283"/>
      <c r="B13" s="286"/>
      <c r="C13" s="287"/>
      <c r="D13" s="286"/>
      <c r="E13" s="287"/>
      <c r="F13" s="81" t="s">
        <v>17</v>
      </c>
      <c r="G13" s="281" t="s">
        <v>750</v>
      </c>
      <c r="H13" s="281"/>
      <c r="I13" s="281" t="s">
        <v>751</v>
      </c>
      <c r="J13" s="281"/>
      <c r="K13" s="29" t="s">
        <v>752</v>
      </c>
      <c r="L13" s="29" t="s">
        <v>753</v>
      </c>
      <c r="M13" s="29" t="s">
        <v>754</v>
      </c>
      <c r="N13" s="29" t="s">
        <v>755</v>
      </c>
      <c r="O13" s="29" t="s">
        <v>756</v>
      </c>
      <c r="P13" s="270"/>
      <c r="Q13" s="265"/>
      <c r="U13" s="42"/>
    </row>
    <row r="14" spans="1:21">
      <c r="A14" s="136"/>
      <c r="B14" s="137" t="s">
        <v>712</v>
      </c>
      <c r="C14" s="137"/>
      <c r="D14" s="138" t="s">
        <v>791</v>
      </c>
      <c r="E14" s="139"/>
      <c r="F14" s="150" t="str">
        <f>IF(OR(G14&lt;&gt;"",I14&lt;&gt;""),$A$14&amp;"."&amp;(ROW(G14)-12)/2,"")</f>
        <v/>
      </c>
      <c r="G14" s="288"/>
      <c r="H14" s="288"/>
      <c r="I14" s="288"/>
      <c r="J14" s="288"/>
      <c r="K14" s="146"/>
      <c r="L14" s="146"/>
      <c r="M14" s="146" t="str">
        <f>IF(F14&lt;&gt;"",IF(O14="R.I.F.",10,
                          IF(OR(RIGHT($B$14,4)="100%",$B$14="OLEAR COM ÓLEO PROTETIVO",$B$14="MAGNAFLUX",$B$14="DESEMPENAR"),"100%",
                          IF(OR(P14="C",P14="E"),4,IF(P14="D",6,2)))),"")</f>
        <v/>
      </c>
      <c r="N14" s="146"/>
      <c r="O14" s="146" t="str">
        <f>IF(OR(AND(I14&lt;&gt;"",$B$14&lt;&gt;""),AND(G14&lt;&gt;"",$B$14&lt;&gt;"")),VLOOKUP($B$14,DADOS!$B$2:$C$499,2,TRUE),"")</f>
        <v/>
      </c>
      <c r="P14" s="259"/>
      <c r="Q14" s="152" t="str">
        <f>IF(F14&lt;&gt;"","IT 9.4.9.","")</f>
        <v/>
      </c>
      <c r="U14" s="41"/>
    </row>
    <row r="15" spans="1:21">
      <c r="A15" s="136"/>
      <c r="B15" s="137"/>
      <c r="C15" s="137"/>
      <c r="D15" s="140"/>
      <c r="E15" s="141"/>
      <c r="F15" s="150"/>
      <c r="G15" s="288"/>
      <c r="H15" s="288"/>
      <c r="I15" s="288"/>
      <c r="J15" s="288"/>
      <c r="K15" s="147"/>
      <c r="L15" s="147"/>
      <c r="M15" s="147"/>
      <c r="N15" s="147"/>
      <c r="O15" s="147"/>
      <c r="P15" s="260"/>
      <c r="Q15" s="153"/>
      <c r="U15" s="42"/>
    </row>
    <row r="16" spans="1:21" ht="12.75" customHeight="1">
      <c r="A16" s="136"/>
      <c r="B16" s="137"/>
      <c r="C16" s="137"/>
      <c r="D16" s="137"/>
      <c r="E16" s="137"/>
      <c r="F16" s="150" t="str">
        <f>IF(OR(G16&lt;&gt;"",I16&lt;&gt;""),$A$14&amp;"."&amp;(ROW(G16)-12)/2,"")</f>
        <v/>
      </c>
      <c r="G16" s="137"/>
      <c r="H16" s="137"/>
      <c r="I16" s="137"/>
      <c r="J16" s="137"/>
      <c r="K16" s="146"/>
      <c r="L16" s="146"/>
      <c r="M16" s="146" t="str">
        <f t="shared" ref="M16:M64" si="0">IF(F16&lt;&gt;"",IF(O16="R.I.F.",10,
                          IF(OR(RIGHT($B$14,4)="100%",$B$14="OLEAR COM ÓLEO PROTETIVO",$B$14="MAGNAFLUX",$B$14="DESEMPENAR"),"100%",
                          IF(OR(P16="C",P16="E"),4,IF(P16="D",6,2)))),"")</f>
        <v/>
      </c>
      <c r="N16" s="146"/>
      <c r="O16" s="146" t="str">
        <f>IF(OR(AND(I16&lt;&gt;"",$B$14&lt;&gt;""),AND(G16&lt;&gt;"",$B$14&lt;&gt;"")),VLOOKUP($B$14,DADOS!$B$2:$C$499,2,TRUE),"")</f>
        <v/>
      </c>
      <c r="P16" s="259"/>
      <c r="Q16" s="152" t="str">
        <f>IF(F16&lt;&gt;"","IT 9.4.9.","")</f>
        <v/>
      </c>
      <c r="U16" s="41"/>
    </row>
    <row r="17" spans="1:21" ht="12.75" customHeight="1">
      <c r="A17" s="136"/>
      <c r="B17" s="137"/>
      <c r="C17" s="137"/>
      <c r="D17" s="137"/>
      <c r="E17" s="137"/>
      <c r="F17" s="150"/>
      <c r="G17" s="137"/>
      <c r="H17" s="137"/>
      <c r="I17" s="137"/>
      <c r="J17" s="137"/>
      <c r="K17" s="147"/>
      <c r="L17" s="147"/>
      <c r="M17" s="147"/>
      <c r="N17" s="147"/>
      <c r="O17" s="147"/>
      <c r="P17" s="260"/>
      <c r="Q17" s="153"/>
      <c r="U17" s="42"/>
    </row>
    <row r="18" spans="1:21" ht="12.75" customHeight="1">
      <c r="A18" s="136"/>
      <c r="B18" s="137"/>
      <c r="C18" s="137"/>
      <c r="D18" s="137"/>
      <c r="E18" s="137"/>
      <c r="F18" s="150" t="str">
        <f>IF(OR(G18&lt;&gt;"",I18&lt;&gt;""),$A$14&amp;"."&amp;(ROW(G18)-12)/2,"")</f>
        <v/>
      </c>
      <c r="G18" s="137"/>
      <c r="H18" s="137"/>
      <c r="I18" s="137"/>
      <c r="J18" s="137"/>
      <c r="K18" s="146"/>
      <c r="L18" s="146"/>
      <c r="M18" s="146" t="str">
        <f t="shared" si="0"/>
        <v/>
      </c>
      <c r="N18" s="146"/>
      <c r="O18" s="146" t="str">
        <f>IF(OR(AND(I18&lt;&gt;"",$B$14&lt;&gt;""),AND(G18&lt;&gt;"",$B$14&lt;&gt;"")),VLOOKUP($B$14,DADOS!$B$2:$C$499,2,TRUE),"")</f>
        <v/>
      </c>
      <c r="P18" s="259"/>
      <c r="Q18" s="152" t="str">
        <f>IF(F18&lt;&gt;"","IT 9.4.9.","")</f>
        <v/>
      </c>
      <c r="U18" s="41"/>
    </row>
    <row r="19" spans="1:21">
      <c r="A19" s="136"/>
      <c r="B19" s="137"/>
      <c r="C19" s="137"/>
      <c r="D19" s="137"/>
      <c r="E19" s="137"/>
      <c r="F19" s="150"/>
      <c r="G19" s="137"/>
      <c r="H19" s="137"/>
      <c r="I19" s="137"/>
      <c r="J19" s="137"/>
      <c r="K19" s="147"/>
      <c r="L19" s="147"/>
      <c r="M19" s="147"/>
      <c r="N19" s="147"/>
      <c r="O19" s="147"/>
      <c r="P19" s="260"/>
      <c r="Q19" s="153"/>
      <c r="U19" s="42"/>
    </row>
    <row r="20" spans="1:21" ht="12.75" customHeight="1">
      <c r="A20" s="163"/>
      <c r="B20" s="138"/>
      <c r="C20" s="139"/>
      <c r="D20" s="138"/>
      <c r="E20" s="139"/>
      <c r="F20" s="150" t="str">
        <f>IF(OR(G20&lt;&gt;"",I20&lt;&gt;""),$A$14&amp;"."&amp;(ROW(G20)-12)/2,"")</f>
        <v/>
      </c>
      <c r="G20" s="137"/>
      <c r="H20" s="137"/>
      <c r="I20" s="137"/>
      <c r="J20" s="137"/>
      <c r="K20" s="146"/>
      <c r="L20" s="146"/>
      <c r="M20" s="146" t="str">
        <f t="shared" si="0"/>
        <v/>
      </c>
      <c r="N20" s="146"/>
      <c r="O20" s="146" t="str">
        <f>IF(OR(AND(I20&lt;&gt;"",$B$14&lt;&gt;""),AND(G20&lt;&gt;"",$B$14&lt;&gt;"")),VLOOKUP($B$14,DADOS!$B$2:$C$499,2,TRUE),"")</f>
        <v/>
      </c>
      <c r="P20" s="259"/>
      <c r="Q20" s="152" t="str">
        <f>IF(F20&lt;&gt;"","IT 9.4.9.","")</f>
        <v/>
      </c>
      <c r="U20" s="41"/>
    </row>
    <row r="21" spans="1:21" ht="12.75" customHeight="1">
      <c r="A21" s="261"/>
      <c r="B21" s="140"/>
      <c r="C21" s="141"/>
      <c r="D21" s="140"/>
      <c r="E21" s="141"/>
      <c r="F21" s="150"/>
      <c r="G21" s="137"/>
      <c r="H21" s="137"/>
      <c r="I21" s="137"/>
      <c r="J21" s="137"/>
      <c r="K21" s="147"/>
      <c r="L21" s="147"/>
      <c r="M21" s="147"/>
      <c r="N21" s="147"/>
      <c r="O21" s="147"/>
      <c r="P21" s="260"/>
      <c r="Q21" s="153"/>
      <c r="U21" s="42"/>
    </row>
    <row r="22" spans="1:21" ht="12.75" customHeight="1">
      <c r="A22" s="136"/>
      <c r="B22" s="138"/>
      <c r="C22" s="139"/>
      <c r="D22" s="137"/>
      <c r="E22" s="137"/>
      <c r="F22" s="150" t="str">
        <f>IF(OR(G22&lt;&gt;"",I22&lt;&gt;""),$A$14&amp;"."&amp;(ROW(G22)-12)/2,"")</f>
        <v/>
      </c>
      <c r="G22" s="137"/>
      <c r="H22" s="137"/>
      <c r="I22" s="137"/>
      <c r="J22" s="137"/>
      <c r="K22" s="137"/>
      <c r="L22" s="146"/>
      <c r="M22" s="146" t="str">
        <f>IF(F22&lt;&gt;"",IF(O22="R.I.F.",10,
                          IF(OR(RIGHT($B$14,4)="100%",$B$14="OLEAR COM ÓLEO PROTETIVO",$B$14="MAGNAFLUX",$B$14="DESEMPENAR"),"100%",
                          IF(OR(P22="C",P22="E"),4,IF(P22="D",6,2)))),"")</f>
        <v/>
      </c>
      <c r="N22" s="146"/>
      <c r="O22" s="146" t="str">
        <f>IF(OR(AND(I22&lt;&gt;"",$B$14&lt;&gt;""),AND(G22&lt;&gt;"",$B$14&lt;&gt;"")),VLOOKUP($B$14,DADOS!$B$2:$C$499,2,TRUE),"")</f>
        <v/>
      </c>
      <c r="P22" s="259"/>
      <c r="Q22" s="152" t="str">
        <f>IF(F22&lt;&gt;"","IT 9.4.9.","")</f>
        <v/>
      </c>
      <c r="U22" s="41"/>
    </row>
    <row r="23" spans="1:21" ht="12.75" customHeight="1">
      <c r="A23" s="136"/>
      <c r="B23" s="140"/>
      <c r="C23" s="141"/>
      <c r="D23" s="137"/>
      <c r="E23" s="137"/>
      <c r="F23" s="150"/>
      <c r="G23" s="146"/>
      <c r="H23" s="146"/>
      <c r="I23" s="146"/>
      <c r="J23" s="146"/>
      <c r="K23" s="146"/>
      <c r="L23" s="147"/>
      <c r="M23" s="147"/>
      <c r="N23" s="147"/>
      <c r="O23" s="147"/>
      <c r="P23" s="260"/>
      <c r="Q23" s="153"/>
      <c r="U23" s="42"/>
    </row>
    <row r="24" spans="1:21" ht="12.75" customHeight="1">
      <c r="A24" s="136"/>
      <c r="B24" s="138"/>
      <c r="C24" s="139"/>
      <c r="D24" s="137"/>
      <c r="E24" s="137"/>
      <c r="F24" s="150" t="str">
        <f>IF(OR(G24&lt;&gt;"",I24&lt;&gt;""),$A$14&amp;"."&amp;(ROW(G24)-12)/2,"")</f>
        <v/>
      </c>
      <c r="G24" s="137"/>
      <c r="H24" s="137"/>
      <c r="I24" s="137"/>
      <c r="J24" s="137"/>
      <c r="K24" s="137"/>
      <c r="L24" s="146"/>
      <c r="M24" s="146" t="str">
        <f t="shared" si="0"/>
        <v/>
      </c>
      <c r="N24" s="146"/>
      <c r="O24" s="146" t="str">
        <f>IF(OR(AND(I24&lt;&gt;"",$B$14&lt;&gt;""),AND(G24&lt;&gt;"",$B$14&lt;&gt;"")),VLOOKUP($B$14,DADOS!$B$2:$C$499,2,TRUE),"")</f>
        <v/>
      </c>
      <c r="P24" s="259"/>
      <c r="Q24" s="152" t="str">
        <f>IF(F24&lt;&gt;"","IT 9.4.9.","")</f>
        <v/>
      </c>
      <c r="U24" s="41"/>
    </row>
    <row r="25" spans="1:21" ht="12.75" customHeight="1">
      <c r="A25" s="136"/>
      <c r="B25" s="140"/>
      <c r="C25" s="141"/>
      <c r="D25" s="137"/>
      <c r="E25" s="137"/>
      <c r="F25" s="150"/>
      <c r="G25" s="146"/>
      <c r="H25" s="146"/>
      <c r="I25" s="146"/>
      <c r="J25" s="146"/>
      <c r="K25" s="146"/>
      <c r="L25" s="147"/>
      <c r="M25" s="147"/>
      <c r="N25" s="147"/>
      <c r="O25" s="147"/>
      <c r="P25" s="260"/>
      <c r="Q25" s="153"/>
      <c r="U25" s="42"/>
    </row>
    <row r="26" spans="1:21" ht="12.75" customHeight="1">
      <c r="A26" s="136"/>
      <c r="B26" s="138"/>
      <c r="C26" s="139"/>
      <c r="D26" s="137"/>
      <c r="E26" s="137"/>
      <c r="F26" s="150" t="str">
        <f>IF(OR(G26&lt;&gt;"",I26&lt;&gt;""),$A$14&amp;"."&amp;(ROW(G26)-12)/2,"")</f>
        <v/>
      </c>
      <c r="G26" s="137"/>
      <c r="H26" s="137"/>
      <c r="I26" s="137"/>
      <c r="J26" s="137"/>
      <c r="K26" s="137"/>
      <c r="L26" s="146"/>
      <c r="M26" s="146" t="str">
        <f t="shared" si="0"/>
        <v/>
      </c>
      <c r="N26" s="146"/>
      <c r="O26" s="146" t="str">
        <f>IF(OR(AND(I26&lt;&gt;"",$B$14&lt;&gt;""),AND(G26&lt;&gt;"",$B$14&lt;&gt;"")),VLOOKUP($B$14,DADOS!$B$2:$C$499,2,TRUE),"")</f>
        <v/>
      </c>
      <c r="P26" s="259"/>
      <c r="Q26" s="152" t="str">
        <f>IF(F26&lt;&gt;"","IT 9.4.9.","")</f>
        <v/>
      </c>
      <c r="U26" s="41"/>
    </row>
    <row r="27" spans="1:21" ht="12.75" customHeight="1">
      <c r="A27" s="136"/>
      <c r="B27" s="140"/>
      <c r="C27" s="141"/>
      <c r="D27" s="137"/>
      <c r="E27" s="137"/>
      <c r="F27" s="150"/>
      <c r="G27" s="146"/>
      <c r="H27" s="146"/>
      <c r="I27" s="146"/>
      <c r="J27" s="146"/>
      <c r="K27" s="146"/>
      <c r="L27" s="147"/>
      <c r="M27" s="147"/>
      <c r="N27" s="147"/>
      <c r="O27" s="147"/>
      <c r="P27" s="260"/>
      <c r="Q27" s="153"/>
      <c r="U27" s="42"/>
    </row>
    <row r="28" spans="1:21" ht="12.75" customHeight="1">
      <c r="A28" s="136"/>
      <c r="B28" s="138"/>
      <c r="C28" s="139"/>
      <c r="D28" s="137"/>
      <c r="E28" s="137"/>
      <c r="F28" s="150" t="str">
        <f>IF(OR(G28&lt;&gt;"",I28&lt;&gt;""),$A$14&amp;"."&amp;(ROW(G28)-12)/2,"")</f>
        <v/>
      </c>
      <c r="G28" s="138"/>
      <c r="H28" s="139"/>
      <c r="I28" s="138"/>
      <c r="J28" s="139"/>
      <c r="K28" s="146"/>
      <c r="L28" s="146"/>
      <c r="M28" s="146" t="str">
        <f t="shared" si="0"/>
        <v/>
      </c>
      <c r="N28" s="146"/>
      <c r="O28" s="146" t="str">
        <f>IF(OR(AND(I28&lt;&gt;"",$B$14&lt;&gt;""),AND(G28&lt;&gt;"",$B$14&lt;&gt;"")),VLOOKUP($B$14,DADOS!$B$2:$C$499,2,TRUE),"")</f>
        <v/>
      </c>
      <c r="P28" s="259"/>
      <c r="Q28" s="152" t="str">
        <f>IF(F28&lt;&gt;"","IT 9.4.9.","")</f>
        <v/>
      </c>
      <c r="U28" s="41"/>
    </row>
    <row r="29" spans="1:21" ht="12.75" customHeight="1">
      <c r="A29" s="136"/>
      <c r="B29" s="140"/>
      <c r="C29" s="141"/>
      <c r="D29" s="137"/>
      <c r="E29" s="137"/>
      <c r="F29" s="150"/>
      <c r="G29" s="140"/>
      <c r="H29" s="141"/>
      <c r="I29" s="140"/>
      <c r="J29" s="141"/>
      <c r="K29" s="147"/>
      <c r="L29" s="147"/>
      <c r="M29" s="147"/>
      <c r="N29" s="147"/>
      <c r="O29" s="147"/>
      <c r="P29" s="260"/>
      <c r="Q29" s="153"/>
      <c r="U29" s="43"/>
    </row>
    <row r="30" spans="1:21" ht="12.75" customHeight="1">
      <c r="A30" s="136"/>
      <c r="B30" s="138"/>
      <c r="C30" s="139"/>
      <c r="D30" s="137"/>
      <c r="E30" s="137"/>
      <c r="F30" s="150" t="str">
        <f>IF(OR(G30&lt;&gt;"",I30&lt;&gt;""),$A$14&amp;"."&amp;(ROW(G30)-12)/2,"")</f>
        <v/>
      </c>
      <c r="G30" s="137"/>
      <c r="H30" s="137"/>
      <c r="I30" s="137"/>
      <c r="J30" s="137"/>
      <c r="K30" s="146"/>
      <c r="L30" s="146"/>
      <c r="M30" s="146" t="str">
        <f t="shared" si="0"/>
        <v/>
      </c>
      <c r="N30" s="146"/>
      <c r="O30" s="146" t="str">
        <f>IF(OR(AND(I30&lt;&gt;"",$B$14&lt;&gt;""),AND(G30&lt;&gt;"",$B$14&lt;&gt;"")),VLOOKUP($B$14,DADOS!$B$2:$C$499,2,TRUE),"")</f>
        <v/>
      </c>
      <c r="P30" s="259"/>
      <c r="Q30" s="152" t="str">
        <f>IF(F30&lt;&gt;"","IT 9.4.9.","")</f>
        <v/>
      </c>
      <c r="U30" s="43"/>
    </row>
    <row r="31" spans="1:21" ht="12.75" customHeight="1">
      <c r="A31" s="136"/>
      <c r="B31" s="140"/>
      <c r="C31" s="141"/>
      <c r="D31" s="137"/>
      <c r="E31" s="137"/>
      <c r="F31" s="150"/>
      <c r="G31" s="137"/>
      <c r="H31" s="137"/>
      <c r="I31" s="137"/>
      <c r="J31" s="137"/>
      <c r="K31" s="147"/>
      <c r="L31" s="147"/>
      <c r="M31" s="147"/>
      <c r="N31" s="147"/>
      <c r="O31" s="147"/>
      <c r="P31" s="260"/>
      <c r="Q31" s="153"/>
      <c r="U31" s="43"/>
    </row>
    <row r="32" spans="1:21" ht="12.75" customHeight="1">
      <c r="A32" s="136"/>
      <c r="B32" s="137"/>
      <c r="C32" s="137"/>
      <c r="D32" s="137"/>
      <c r="E32" s="137"/>
      <c r="F32" s="150" t="str">
        <f>IF(OR(G32&lt;&gt;"",I32&lt;&gt;""),$A$14&amp;"."&amp;(ROW(G32)-12)/2,"")</f>
        <v/>
      </c>
      <c r="G32" s="138"/>
      <c r="H32" s="139"/>
      <c r="I32" s="138"/>
      <c r="J32" s="139"/>
      <c r="K32" s="146"/>
      <c r="L32" s="146"/>
      <c r="M32" s="146" t="str">
        <f t="shared" si="0"/>
        <v/>
      </c>
      <c r="N32" s="146"/>
      <c r="O32" s="146" t="str">
        <f>IF(OR(AND(I32&lt;&gt;"",$B$14&lt;&gt;""),AND(G32&lt;&gt;"",$B$14&lt;&gt;"")),VLOOKUP($B$14,DADOS!$B$2:$C$499,2,TRUE),"")</f>
        <v/>
      </c>
      <c r="P32" s="259"/>
      <c r="Q32" s="152" t="str">
        <f>IF(F32&lt;&gt;"","IT 9.4.9.","")</f>
        <v/>
      </c>
    </row>
    <row r="33" spans="1:17" ht="12.75" customHeight="1">
      <c r="A33" s="136"/>
      <c r="B33" s="137"/>
      <c r="C33" s="137"/>
      <c r="D33" s="137"/>
      <c r="E33" s="137"/>
      <c r="F33" s="150"/>
      <c r="G33" s="140"/>
      <c r="H33" s="141"/>
      <c r="I33" s="140"/>
      <c r="J33" s="141"/>
      <c r="K33" s="147"/>
      <c r="L33" s="147"/>
      <c r="M33" s="147"/>
      <c r="N33" s="147"/>
      <c r="O33" s="147"/>
      <c r="P33" s="260"/>
      <c r="Q33" s="153"/>
    </row>
    <row r="34" spans="1:17" ht="12.75" customHeight="1">
      <c r="A34" s="136"/>
      <c r="B34" s="137"/>
      <c r="C34" s="137"/>
      <c r="D34" s="137"/>
      <c r="E34" s="137"/>
      <c r="F34" s="150" t="str">
        <f>IF(OR(G34&lt;&gt;"",I34&lt;&gt;""),$A$14&amp;"."&amp;(ROW(G34)-12)/2,"")</f>
        <v/>
      </c>
      <c r="G34" s="137"/>
      <c r="H34" s="137"/>
      <c r="I34" s="137"/>
      <c r="J34" s="137"/>
      <c r="K34" s="146"/>
      <c r="L34" s="146"/>
      <c r="M34" s="146" t="str">
        <f t="shared" si="0"/>
        <v/>
      </c>
      <c r="N34" s="146"/>
      <c r="O34" s="146" t="str">
        <f>IF(OR(AND(I34&lt;&gt;"",$B$14&lt;&gt;""),AND(G34&lt;&gt;"",$B$14&lt;&gt;"")),VLOOKUP($B$14,DADOS!$B$2:$C$499,2,TRUE),"")</f>
        <v/>
      </c>
      <c r="P34" s="259"/>
      <c r="Q34" s="152" t="str">
        <f>IF(F34&lt;&gt;"","IT 9.4.9.","")</f>
        <v/>
      </c>
    </row>
    <row r="35" spans="1:17" ht="12.75" customHeight="1">
      <c r="A35" s="136"/>
      <c r="B35" s="137"/>
      <c r="C35" s="137"/>
      <c r="D35" s="137"/>
      <c r="E35" s="137"/>
      <c r="F35" s="150"/>
      <c r="G35" s="137"/>
      <c r="H35" s="137"/>
      <c r="I35" s="137"/>
      <c r="J35" s="137"/>
      <c r="K35" s="147"/>
      <c r="L35" s="147"/>
      <c r="M35" s="147"/>
      <c r="N35" s="147"/>
      <c r="O35" s="147"/>
      <c r="P35" s="260"/>
      <c r="Q35" s="153"/>
    </row>
    <row r="36" spans="1:17" ht="12.75" customHeight="1">
      <c r="A36" s="136"/>
      <c r="B36" s="137"/>
      <c r="C36" s="137"/>
      <c r="D36" s="137"/>
      <c r="E36" s="137"/>
      <c r="F36" s="150" t="str">
        <f>IF(OR(G36&lt;&gt;"",I36&lt;&gt;""),$A$14&amp;"."&amp;(ROW(G36)-12)/2,"")</f>
        <v/>
      </c>
      <c r="G36" s="138"/>
      <c r="H36" s="139"/>
      <c r="I36" s="138"/>
      <c r="J36" s="139"/>
      <c r="K36" s="146"/>
      <c r="L36" s="146"/>
      <c r="M36" s="146" t="str">
        <f t="shared" si="0"/>
        <v/>
      </c>
      <c r="N36" s="146"/>
      <c r="O36" s="146" t="str">
        <f>IF(OR(AND(I36&lt;&gt;"",$B$14&lt;&gt;""),AND(G36&lt;&gt;"",$B$14&lt;&gt;"")),VLOOKUP($B$14,DADOS!$B$2:$C$499,2,TRUE),"")</f>
        <v/>
      </c>
      <c r="P36" s="259"/>
      <c r="Q36" s="152" t="str">
        <f>IF(F36&lt;&gt;"","IT 9.4.9.","")</f>
        <v/>
      </c>
    </row>
    <row r="37" spans="1:17" ht="12.75" customHeight="1">
      <c r="A37" s="136"/>
      <c r="B37" s="137"/>
      <c r="C37" s="137"/>
      <c r="D37" s="137"/>
      <c r="E37" s="137"/>
      <c r="F37" s="150"/>
      <c r="G37" s="140"/>
      <c r="H37" s="141"/>
      <c r="I37" s="140"/>
      <c r="J37" s="141"/>
      <c r="K37" s="147"/>
      <c r="L37" s="147"/>
      <c r="M37" s="147"/>
      <c r="N37" s="147"/>
      <c r="O37" s="147"/>
      <c r="P37" s="260"/>
      <c r="Q37" s="153"/>
    </row>
    <row r="38" spans="1:17" ht="12.75" customHeight="1">
      <c r="A38" s="136"/>
      <c r="B38" s="137"/>
      <c r="C38" s="137"/>
      <c r="D38" s="137"/>
      <c r="E38" s="137"/>
      <c r="F38" s="150" t="str">
        <f>IF(OR(G38&lt;&gt;"",I38&lt;&gt;""),$A$14&amp;"."&amp;(ROW(G38)-12)/2,"")</f>
        <v/>
      </c>
      <c r="G38" s="137"/>
      <c r="H38" s="137"/>
      <c r="I38" s="137"/>
      <c r="J38" s="137"/>
      <c r="K38" s="146"/>
      <c r="L38" s="146"/>
      <c r="M38" s="146" t="str">
        <f t="shared" si="0"/>
        <v/>
      </c>
      <c r="N38" s="146"/>
      <c r="O38" s="146" t="str">
        <f>IF(OR(AND(I38&lt;&gt;"",$B$14&lt;&gt;""),AND(G38&lt;&gt;"",$B$14&lt;&gt;"")),VLOOKUP($B$14,DADOS!$B$2:$C$499,2,TRUE),"")</f>
        <v/>
      </c>
      <c r="P38" s="259"/>
      <c r="Q38" s="152" t="str">
        <f>IF(F38&lt;&gt;"","IT 9.4.9.","")</f>
        <v/>
      </c>
    </row>
    <row r="39" spans="1:17" ht="12.75" customHeight="1">
      <c r="A39" s="136"/>
      <c r="B39" s="137"/>
      <c r="C39" s="137"/>
      <c r="D39" s="137"/>
      <c r="E39" s="137"/>
      <c r="F39" s="150"/>
      <c r="G39" s="137"/>
      <c r="H39" s="137"/>
      <c r="I39" s="137"/>
      <c r="J39" s="137"/>
      <c r="K39" s="147"/>
      <c r="L39" s="147"/>
      <c r="M39" s="147"/>
      <c r="N39" s="147"/>
      <c r="O39" s="147"/>
      <c r="P39" s="260"/>
      <c r="Q39" s="153"/>
    </row>
    <row r="40" spans="1:17" ht="12.75" customHeight="1">
      <c r="A40" s="136"/>
      <c r="B40" s="137"/>
      <c r="C40" s="137"/>
      <c r="D40" s="137"/>
      <c r="E40" s="137"/>
      <c r="F40" s="150" t="str">
        <f>IF(OR(G40&lt;&gt;"",I40&lt;&gt;""),$A$14&amp;"."&amp;(ROW(G40)-12)/2,"")</f>
        <v/>
      </c>
      <c r="G40" s="138"/>
      <c r="H40" s="139"/>
      <c r="I40" s="138"/>
      <c r="J40" s="139"/>
      <c r="K40" s="146"/>
      <c r="L40" s="146"/>
      <c r="M40" s="146" t="str">
        <f t="shared" si="0"/>
        <v/>
      </c>
      <c r="N40" s="146"/>
      <c r="O40" s="146" t="str">
        <f>IF(OR(AND(I40&lt;&gt;"",$B$14&lt;&gt;""),AND(G40&lt;&gt;"",$B$14&lt;&gt;"")),VLOOKUP($B$14,DADOS!$B$2:$C$499,2,TRUE),"")</f>
        <v/>
      </c>
      <c r="P40" s="259"/>
      <c r="Q40" s="152" t="str">
        <f>IF(F40&lt;&gt;"","IT 9.4.9.","")</f>
        <v/>
      </c>
    </row>
    <row r="41" spans="1:17" ht="12.75" customHeight="1">
      <c r="A41" s="136"/>
      <c r="B41" s="137"/>
      <c r="C41" s="137"/>
      <c r="D41" s="137"/>
      <c r="E41" s="137"/>
      <c r="F41" s="150"/>
      <c r="G41" s="140"/>
      <c r="H41" s="141"/>
      <c r="I41" s="140"/>
      <c r="J41" s="141"/>
      <c r="K41" s="147"/>
      <c r="L41" s="147"/>
      <c r="M41" s="147"/>
      <c r="N41" s="147"/>
      <c r="O41" s="147"/>
      <c r="P41" s="260"/>
      <c r="Q41" s="153"/>
    </row>
    <row r="42" spans="1:17" ht="12.75" customHeight="1">
      <c r="A42" s="136"/>
      <c r="B42" s="137"/>
      <c r="C42" s="137"/>
      <c r="D42" s="137"/>
      <c r="E42" s="137"/>
      <c r="F42" s="150" t="str">
        <f>IF(OR(G42&lt;&gt;"",I42&lt;&gt;""),$A$14&amp;"."&amp;(ROW(G42)-12)/2,"")</f>
        <v/>
      </c>
      <c r="G42" s="138"/>
      <c r="H42" s="139"/>
      <c r="I42" s="138"/>
      <c r="J42" s="139"/>
      <c r="K42" s="146"/>
      <c r="L42" s="146"/>
      <c r="M42" s="146" t="str">
        <f t="shared" si="0"/>
        <v/>
      </c>
      <c r="N42" s="146"/>
      <c r="O42" s="146" t="str">
        <f>IF(OR(AND(I42&lt;&gt;"",$B$14&lt;&gt;""),AND(G42&lt;&gt;"",$B$14&lt;&gt;"")),VLOOKUP($B$14,DADOS!$B$2:$C$499,2,TRUE),"")</f>
        <v/>
      </c>
      <c r="P42" s="259"/>
      <c r="Q42" s="152" t="str">
        <f>IF(F42&lt;&gt;"","IT 9.4.9.","")</f>
        <v/>
      </c>
    </row>
    <row r="43" spans="1:17" ht="12.75" customHeight="1">
      <c r="A43" s="136"/>
      <c r="B43" s="137"/>
      <c r="C43" s="137"/>
      <c r="D43" s="137"/>
      <c r="E43" s="137"/>
      <c r="F43" s="150"/>
      <c r="G43" s="140"/>
      <c r="H43" s="141"/>
      <c r="I43" s="140"/>
      <c r="J43" s="141"/>
      <c r="K43" s="147"/>
      <c r="L43" s="147"/>
      <c r="M43" s="147"/>
      <c r="N43" s="147"/>
      <c r="O43" s="147"/>
      <c r="P43" s="260"/>
      <c r="Q43" s="153"/>
    </row>
    <row r="44" spans="1:17" ht="12.75" customHeight="1">
      <c r="A44" s="163"/>
      <c r="B44" s="138"/>
      <c r="C44" s="139"/>
      <c r="D44" s="138"/>
      <c r="E44" s="139"/>
      <c r="F44" s="150" t="str">
        <f>IF(OR(G44&lt;&gt;"",I44&lt;&gt;""),$A$14&amp;"."&amp;(ROW(G44)-12)/2,"")</f>
        <v/>
      </c>
      <c r="G44" s="137"/>
      <c r="H44" s="137"/>
      <c r="I44" s="137"/>
      <c r="J44" s="137"/>
      <c r="K44" s="137"/>
      <c r="L44" s="146"/>
      <c r="M44" s="146" t="str">
        <f t="shared" si="0"/>
        <v/>
      </c>
      <c r="N44" s="146"/>
      <c r="O44" s="146" t="str">
        <f>IF(OR(AND(I44&lt;&gt;"",$B$14&lt;&gt;""),AND(G44&lt;&gt;"",$B$14&lt;&gt;"")),VLOOKUP($B$14,DADOS!$B$2:$C$499,2,TRUE),"")</f>
        <v/>
      </c>
      <c r="P44" s="259"/>
      <c r="Q44" s="152" t="str">
        <f>IF(F44&lt;&gt;"","IT 9.4.9.","")</f>
        <v/>
      </c>
    </row>
    <row r="45" spans="1:17" ht="12.75" customHeight="1">
      <c r="A45" s="261"/>
      <c r="B45" s="140"/>
      <c r="C45" s="141"/>
      <c r="D45" s="140"/>
      <c r="E45" s="141"/>
      <c r="F45" s="150"/>
      <c r="G45" s="146"/>
      <c r="H45" s="146"/>
      <c r="I45" s="146"/>
      <c r="J45" s="146"/>
      <c r="K45" s="146"/>
      <c r="L45" s="147"/>
      <c r="M45" s="147"/>
      <c r="N45" s="147"/>
      <c r="O45" s="147"/>
      <c r="P45" s="260"/>
      <c r="Q45" s="153"/>
    </row>
    <row r="46" spans="1:17" ht="12.75" customHeight="1">
      <c r="A46" s="163"/>
      <c r="B46" s="138"/>
      <c r="C46" s="139"/>
      <c r="D46" s="138"/>
      <c r="E46" s="139"/>
      <c r="F46" s="150" t="str">
        <f>IF(OR(G46&lt;&gt;"",I46&lt;&gt;""),$A$14&amp;"."&amp;(ROW(G46)-12)/2,"")</f>
        <v/>
      </c>
      <c r="G46" s="138"/>
      <c r="H46" s="139"/>
      <c r="I46" s="138"/>
      <c r="J46" s="139"/>
      <c r="K46" s="146"/>
      <c r="L46" s="146"/>
      <c r="M46" s="146" t="str">
        <f t="shared" si="0"/>
        <v/>
      </c>
      <c r="N46" s="146"/>
      <c r="O46" s="146" t="str">
        <f>IF(OR(AND(I46&lt;&gt;"",$B$14&lt;&gt;""),AND(G46&lt;&gt;"",$B$14&lt;&gt;"")),VLOOKUP($B$14,DADOS!$B$2:$C$499,2,TRUE),"")</f>
        <v/>
      </c>
      <c r="P46" s="259"/>
      <c r="Q46" s="152" t="str">
        <f>IF(F46&lt;&gt;"","IT 9.4.9.","")</f>
        <v/>
      </c>
    </row>
    <row r="47" spans="1:17" ht="12.75" customHeight="1">
      <c r="A47" s="261"/>
      <c r="B47" s="140"/>
      <c r="C47" s="141"/>
      <c r="D47" s="140"/>
      <c r="E47" s="141"/>
      <c r="F47" s="150"/>
      <c r="G47" s="140"/>
      <c r="H47" s="141"/>
      <c r="I47" s="140"/>
      <c r="J47" s="141"/>
      <c r="K47" s="147"/>
      <c r="L47" s="147"/>
      <c r="M47" s="147"/>
      <c r="N47" s="147"/>
      <c r="O47" s="147"/>
      <c r="P47" s="260"/>
      <c r="Q47" s="153"/>
    </row>
    <row r="48" spans="1:17" ht="12.75" customHeight="1">
      <c r="A48" s="136"/>
      <c r="B48" s="137"/>
      <c r="C48" s="137"/>
      <c r="D48" s="137"/>
      <c r="E48" s="137"/>
      <c r="F48" s="150" t="str">
        <f>IF(OR(G48&lt;&gt;"",I48&lt;&gt;""),$A$14&amp;"."&amp;(ROW(G48)-12)/2,"")</f>
        <v/>
      </c>
      <c r="G48" s="138"/>
      <c r="H48" s="139"/>
      <c r="I48" s="138"/>
      <c r="J48" s="139"/>
      <c r="K48" s="146"/>
      <c r="L48" s="146"/>
      <c r="M48" s="146" t="str">
        <f t="shared" si="0"/>
        <v/>
      </c>
      <c r="N48" s="146"/>
      <c r="O48" s="146" t="str">
        <f>IF(OR(AND(I48&lt;&gt;"",$B$14&lt;&gt;""),AND(G48&lt;&gt;"",$B$14&lt;&gt;"")),VLOOKUP($B$14,DADOS!$B$2:$C$499,2,TRUE),"")</f>
        <v/>
      </c>
      <c r="P48" s="259"/>
      <c r="Q48" s="152" t="str">
        <f>IF(F48&lt;&gt;"","IT 9.4.9.","")</f>
        <v/>
      </c>
    </row>
    <row r="49" spans="1:17" ht="12.75" customHeight="1">
      <c r="A49" s="163"/>
      <c r="B49" s="146"/>
      <c r="C49" s="146"/>
      <c r="D49" s="146"/>
      <c r="E49" s="146"/>
      <c r="F49" s="150"/>
      <c r="G49" s="140"/>
      <c r="H49" s="141"/>
      <c r="I49" s="140"/>
      <c r="J49" s="141"/>
      <c r="K49" s="147"/>
      <c r="L49" s="147"/>
      <c r="M49" s="147"/>
      <c r="N49" s="147"/>
      <c r="O49" s="147"/>
      <c r="P49" s="260"/>
      <c r="Q49" s="153"/>
    </row>
    <row r="50" spans="1:17" ht="12.75" customHeight="1">
      <c r="A50" s="136"/>
      <c r="B50" s="137"/>
      <c r="C50" s="137"/>
      <c r="D50" s="137"/>
      <c r="E50" s="137"/>
      <c r="F50" s="150" t="str">
        <f>IF(OR(G50&lt;&gt;"",I50&lt;&gt;""),$A$14&amp;"."&amp;(ROW(G50)-12)/2,"")</f>
        <v/>
      </c>
      <c r="G50" s="137"/>
      <c r="H50" s="137"/>
      <c r="I50" s="137"/>
      <c r="J50" s="137"/>
      <c r="K50" s="146"/>
      <c r="L50" s="146"/>
      <c r="M50" s="146" t="str">
        <f t="shared" si="0"/>
        <v/>
      </c>
      <c r="N50" s="146"/>
      <c r="O50" s="146" t="str">
        <f>IF(OR(AND(I50&lt;&gt;"",$B$14&lt;&gt;""),AND(G50&lt;&gt;"",$B$14&lt;&gt;"")),VLOOKUP($B$14,DADOS!$B$2:$C$499,2,TRUE),"")</f>
        <v/>
      </c>
      <c r="P50" s="259"/>
      <c r="Q50" s="152" t="str">
        <f>IF(F50&lt;&gt;"","IT 9.4.9.","")</f>
        <v/>
      </c>
    </row>
    <row r="51" spans="1:17" ht="12.75" customHeight="1">
      <c r="A51" s="163"/>
      <c r="B51" s="146"/>
      <c r="C51" s="146"/>
      <c r="D51" s="146"/>
      <c r="E51" s="146"/>
      <c r="F51" s="150"/>
      <c r="G51" s="146"/>
      <c r="H51" s="146"/>
      <c r="I51" s="146"/>
      <c r="J51" s="146"/>
      <c r="K51" s="147"/>
      <c r="L51" s="147"/>
      <c r="M51" s="147"/>
      <c r="N51" s="147"/>
      <c r="O51" s="147"/>
      <c r="P51" s="260"/>
      <c r="Q51" s="153"/>
    </row>
    <row r="52" spans="1:17" ht="12.75" customHeight="1">
      <c r="A52" s="136"/>
      <c r="B52" s="137"/>
      <c r="C52" s="137"/>
      <c r="D52" s="137"/>
      <c r="E52" s="137"/>
      <c r="F52" s="150" t="str">
        <f>IF(OR(G52&lt;&gt;"",I52&lt;&gt;""),$A$14&amp;"."&amp;(ROW(G52)-12)/2,"")</f>
        <v/>
      </c>
      <c r="G52" s="137"/>
      <c r="H52" s="137"/>
      <c r="I52" s="137"/>
      <c r="J52" s="137"/>
      <c r="K52" s="137"/>
      <c r="L52" s="146"/>
      <c r="M52" s="146" t="str">
        <f t="shared" si="0"/>
        <v/>
      </c>
      <c r="N52" s="146"/>
      <c r="O52" s="146" t="str">
        <f>IF(OR(AND(I52&lt;&gt;"",$B$14&lt;&gt;""),AND(G52&lt;&gt;"",$B$14&lt;&gt;"")),VLOOKUP($B$14,DADOS!$B$2:$C$499,2,TRUE),"")</f>
        <v/>
      </c>
      <c r="P52" s="259"/>
      <c r="Q52" s="152" t="str">
        <f>IF(F52&lt;&gt;"","IT 9.4.9.","")</f>
        <v/>
      </c>
    </row>
    <row r="53" spans="1:17" ht="12.75" customHeight="1">
      <c r="A53" s="163"/>
      <c r="B53" s="146"/>
      <c r="C53" s="146"/>
      <c r="D53" s="146"/>
      <c r="E53" s="146"/>
      <c r="F53" s="150"/>
      <c r="G53" s="146"/>
      <c r="H53" s="146"/>
      <c r="I53" s="146"/>
      <c r="J53" s="146"/>
      <c r="K53" s="146"/>
      <c r="L53" s="147"/>
      <c r="M53" s="147"/>
      <c r="N53" s="147"/>
      <c r="O53" s="147"/>
      <c r="P53" s="260"/>
      <c r="Q53" s="153"/>
    </row>
    <row r="54" spans="1:17" ht="12.75" customHeight="1">
      <c r="A54" s="136"/>
      <c r="B54" s="137"/>
      <c r="C54" s="137"/>
      <c r="D54" s="137"/>
      <c r="E54" s="137"/>
      <c r="F54" s="150" t="str">
        <f>IF(OR(G54&lt;&gt;"",I54&lt;&gt;""),$A$14&amp;"."&amp;(ROW(G54)-12)/2,"")</f>
        <v/>
      </c>
      <c r="G54" s="137"/>
      <c r="H54" s="137"/>
      <c r="I54" s="137"/>
      <c r="J54" s="137"/>
      <c r="K54" s="146"/>
      <c r="L54" s="137"/>
      <c r="M54" s="146" t="str">
        <f t="shared" si="0"/>
        <v/>
      </c>
      <c r="N54" s="146"/>
      <c r="O54" s="146" t="str">
        <f>IF(OR(AND(I54&lt;&gt;"",$B$14&lt;&gt;""),AND(G54&lt;&gt;"",$B$14&lt;&gt;"")),VLOOKUP($B$14,DADOS!$B$2:$C$499,2,TRUE),"")</f>
        <v/>
      </c>
      <c r="P54" s="259"/>
      <c r="Q54" s="152" t="str">
        <f>IF(F54&lt;&gt;"","IT 9.4.9.","")</f>
        <v/>
      </c>
    </row>
    <row r="55" spans="1:17" ht="12.75" customHeight="1">
      <c r="A55" s="136"/>
      <c r="B55" s="137"/>
      <c r="C55" s="137"/>
      <c r="D55" s="137"/>
      <c r="E55" s="137"/>
      <c r="F55" s="150"/>
      <c r="G55" s="137"/>
      <c r="H55" s="137"/>
      <c r="I55" s="137"/>
      <c r="J55" s="137"/>
      <c r="K55" s="147"/>
      <c r="L55" s="137"/>
      <c r="M55" s="147"/>
      <c r="N55" s="147"/>
      <c r="O55" s="147"/>
      <c r="P55" s="260"/>
      <c r="Q55" s="153"/>
    </row>
    <row r="56" spans="1:17" ht="12.75" customHeight="1">
      <c r="A56" s="136"/>
      <c r="B56" s="137"/>
      <c r="C56" s="137"/>
      <c r="D56" s="137"/>
      <c r="E56" s="137"/>
      <c r="F56" s="150" t="str">
        <f>IF(OR(G56&lt;&gt;"",I56&lt;&gt;""),$A$14&amp;"."&amp;(ROW(G56)-12)/2,"")</f>
        <v/>
      </c>
      <c r="G56" s="137"/>
      <c r="H56" s="137"/>
      <c r="I56" s="137"/>
      <c r="J56" s="137"/>
      <c r="K56" s="137"/>
      <c r="L56" s="137"/>
      <c r="M56" s="146" t="str">
        <f t="shared" si="0"/>
        <v/>
      </c>
      <c r="N56" s="146"/>
      <c r="O56" s="146" t="str">
        <f>IF(OR(AND(I56&lt;&gt;"",$B$14&lt;&gt;""),AND(G56&lt;&gt;"",$B$14&lt;&gt;"")),VLOOKUP($B$14,DADOS!$B$2:$C$499,2,TRUE),"")</f>
        <v/>
      </c>
      <c r="P56" s="259"/>
      <c r="Q56" s="152" t="str">
        <f>IF(F56&lt;&gt;"","IT 9.4.9.","")</f>
        <v/>
      </c>
    </row>
    <row r="57" spans="1:17" ht="13.5" customHeight="1">
      <c r="A57" s="136"/>
      <c r="B57" s="137"/>
      <c r="C57" s="137"/>
      <c r="D57" s="137"/>
      <c r="E57" s="137"/>
      <c r="F57" s="150"/>
      <c r="G57" s="137"/>
      <c r="H57" s="137"/>
      <c r="I57" s="137"/>
      <c r="J57" s="137"/>
      <c r="K57" s="137"/>
      <c r="L57" s="137"/>
      <c r="M57" s="147"/>
      <c r="N57" s="147"/>
      <c r="O57" s="147"/>
      <c r="P57" s="260"/>
      <c r="Q57" s="153"/>
    </row>
    <row r="58" spans="1:17" ht="12.75" customHeight="1">
      <c r="A58" s="136"/>
      <c r="B58" s="137"/>
      <c r="C58" s="137"/>
      <c r="D58" s="137"/>
      <c r="E58" s="137"/>
      <c r="F58" s="150" t="str">
        <f>IF(OR(G58&lt;&gt;"",I58&lt;&gt;""),$A$14&amp;"."&amp;(ROW(G58)-12)/2,"")</f>
        <v/>
      </c>
      <c r="G58" s="137"/>
      <c r="H58" s="137"/>
      <c r="I58" s="137"/>
      <c r="J58" s="137"/>
      <c r="K58" s="137"/>
      <c r="L58" s="137"/>
      <c r="M58" s="146" t="str">
        <f t="shared" si="0"/>
        <v/>
      </c>
      <c r="N58" s="146"/>
      <c r="O58" s="146" t="str">
        <f>IF(OR(AND(I58&lt;&gt;"",$B$14&lt;&gt;""),AND(G58&lt;&gt;"",$B$14&lt;&gt;"")),VLOOKUP($B$14,DADOS!$B$2:$C$499,2,TRUE),"")</f>
        <v/>
      </c>
      <c r="P58" s="259"/>
      <c r="Q58" s="152" t="str">
        <f>IF(F58&lt;&gt;"","IT 9.4.9.","")</f>
        <v/>
      </c>
    </row>
    <row r="59" spans="1:17" ht="13.5" customHeight="1" thickBot="1">
      <c r="A59" s="136"/>
      <c r="B59" s="137"/>
      <c r="C59" s="137"/>
      <c r="D59" s="137"/>
      <c r="E59" s="137"/>
      <c r="F59" s="150"/>
      <c r="G59" s="137"/>
      <c r="H59" s="137"/>
      <c r="I59" s="137"/>
      <c r="J59" s="137"/>
      <c r="K59" s="137"/>
      <c r="L59" s="137"/>
      <c r="M59" s="147"/>
      <c r="N59" s="147"/>
      <c r="O59" s="147"/>
      <c r="P59" s="260"/>
      <c r="Q59" s="153"/>
    </row>
    <row r="60" spans="1:17" ht="12.75" customHeight="1">
      <c r="A60" s="295" t="s">
        <v>53</v>
      </c>
      <c r="B60" s="296"/>
      <c r="C60" s="296"/>
      <c r="D60" s="296"/>
      <c r="E60" s="297"/>
      <c r="F60" s="150" t="str">
        <f>IF(OR(G60&lt;&gt;"",I60&lt;&gt;""),$A$14&amp;"."&amp;(ROW(G60)-12)/2,"")</f>
        <v/>
      </c>
      <c r="G60" s="137"/>
      <c r="H60" s="137"/>
      <c r="I60" s="137"/>
      <c r="J60" s="137"/>
      <c r="K60" s="137"/>
      <c r="L60" s="137"/>
      <c r="M60" s="146" t="str">
        <f t="shared" si="0"/>
        <v/>
      </c>
      <c r="N60" s="146"/>
      <c r="O60" s="146" t="str">
        <f>IF(OR(AND(I60&lt;&gt;"",$B$14&lt;&gt;""),AND(G60&lt;&gt;"",$B$14&lt;&gt;"")),VLOOKUP($B$14,DADOS!$B$2:$C$499,2,TRUE),"")</f>
        <v/>
      </c>
      <c r="P60" s="259"/>
      <c r="Q60" s="152" t="str">
        <f>IF(F60&lt;&gt;"","IT 9.4.9.","")</f>
        <v/>
      </c>
    </row>
    <row r="61" spans="1:17" ht="12.75" customHeight="1">
      <c r="A61" s="298"/>
      <c r="B61" s="299"/>
      <c r="C61" s="299"/>
      <c r="D61" s="299"/>
      <c r="E61" s="300"/>
      <c r="F61" s="150"/>
      <c r="G61" s="137"/>
      <c r="H61" s="137"/>
      <c r="I61" s="137"/>
      <c r="J61" s="137"/>
      <c r="K61" s="137"/>
      <c r="L61" s="137"/>
      <c r="M61" s="147"/>
      <c r="N61" s="147"/>
      <c r="O61" s="147"/>
      <c r="P61" s="260"/>
      <c r="Q61" s="153"/>
    </row>
    <row r="62" spans="1:17" ht="15.75" customHeight="1">
      <c r="A62" s="37" t="s">
        <v>43</v>
      </c>
      <c r="B62" s="290" t="s">
        <v>54</v>
      </c>
      <c r="C62" s="291"/>
      <c r="D62" s="291"/>
      <c r="E62" s="292"/>
      <c r="F62" s="150" t="str">
        <f>IF(OR(G62&lt;&gt;"",I62&lt;&gt;""),$A$14&amp;"."&amp;(ROW(G62)-12)/2,"")</f>
        <v/>
      </c>
      <c r="G62" s="137"/>
      <c r="H62" s="137"/>
      <c r="I62" s="137"/>
      <c r="J62" s="137"/>
      <c r="K62" s="137"/>
      <c r="L62" s="137"/>
      <c r="M62" s="146" t="str">
        <f t="shared" si="0"/>
        <v/>
      </c>
      <c r="N62" s="146"/>
      <c r="O62" s="146" t="str">
        <f>IF(OR(AND(I62&lt;&gt;"",$B$14&lt;&gt;""),AND(G62&lt;&gt;"",$B$14&lt;&gt;"")),VLOOKUP($B$14,DADOS!$B$2:$C$499,2,TRUE),"")</f>
        <v/>
      </c>
      <c r="P62" s="259"/>
      <c r="Q62" s="152" t="str">
        <f>IF(F62&lt;&gt;"","IT 9.4.9.","")</f>
        <v/>
      </c>
    </row>
    <row r="63" spans="1:17" ht="15.75" customHeight="1">
      <c r="A63" s="37" t="s">
        <v>55</v>
      </c>
      <c r="B63" s="290" t="s">
        <v>56</v>
      </c>
      <c r="C63" s="291"/>
      <c r="D63" s="291"/>
      <c r="E63" s="292"/>
      <c r="F63" s="150"/>
      <c r="G63" s="137"/>
      <c r="H63" s="137"/>
      <c r="I63" s="137"/>
      <c r="J63" s="137"/>
      <c r="K63" s="137"/>
      <c r="L63" s="137"/>
      <c r="M63" s="147"/>
      <c r="N63" s="147"/>
      <c r="O63" s="147"/>
      <c r="P63" s="260"/>
      <c r="Q63" s="153"/>
    </row>
    <row r="64" spans="1:17" ht="15.75" customHeight="1">
      <c r="A64" s="37" t="s">
        <v>52</v>
      </c>
      <c r="B64" s="290" t="s">
        <v>57</v>
      </c>
      <c r="C64" s="291"/>
      <c r="D64" s="291"/>
      <c r="E64" s="292"/>
      <c r="F64" s="293" t="str">
        <f>IF(OR(G64&lt;&gt;"",I64&lt;&gt;""),$A$14&amp;"."&amp;(ROW(G64)-12)/2,"")</f>
        <v/>
      </c>
      <c r="G64" s="137"/>
      <c r="H64" s="137"/>
      <c r="I64" s="137"/>
      <c r="J64" s="137"/>
      <c r="K64" s="137"/>
      <c r="L64" s="137"/>
      <c r="M64" s="146" t="str">
        <f t="shared" si="0"/>
        <v/>
      </c>
      <c r="N64" s="137"/>
      <c r="O64" s="146" t="str">
        <f>IF(OR(AND(I64&lt;&gt;"",$B$14&lt;&gt;""),AND(G64&lt;&gt;"",$B$14&lt;&gt;"")),VLOOKUP($B$14,DADOS!$B$2:$C$499,2,TRUE),"")</f>
        <v/>
      </c>
      <c r="P64" s="303"/>
      <c r="Q64" s="152" t="str">
        <f>IF(F64&lt;&gt;"","IT 9.4.9.","")</f>
        <v/>
      </c>
    </row>
    <row r="65" spans="1:17" ht="13.5" customHeight="1" thickBot="1">
      <c r="A65" s="7"/>
      <c r="B65" s="8"/>
      <c r="C65" s="8"/>
      <c r="D65" s="8"/>
      <c r="E65" s="9"/>
      <c r="F65" s="294"/>
      <c r="G65" s="151"/>
      <c r="H65" s="151"/>
      <c r="I65" s="151"/>
      <c r="J65" s="151"/>
      <c r="K65" s="151"/>
      <c r="L65" s="151"/>
      <c r="M65" s="301"/>
      <c r="N65" s="151"/>
      <c r="O65" s="147"/>
      <c r="P65" s="304"/>
      <c r="Q65" s="302"/>
    </row>
  </sheetData>
  <sheetProtection sheet="1" scenarios="1" formatCells="0" formatRows="0" insertRows="0" insertHyperlinks="0" deleteRows="0"/>
  <protectedRanges>
    <protectedRange sqref="Q4" name="Intervalo3"/>
    <protectedRange sqref="A14:E17 G14:Q15 D56:E57 G16:L63 N16:N63 M16:M65 P16:P63 O16:O65 Q16:Q65" name="Intervalo1"/>
    <protectedRange sqref="A20:E45" name="Intervalo2"/>
  </protectedRanges>
  <dataConsolidate/>
  <mergeCells count="379">
    <mergeCell ref="P36:P37"/>
    <mergeCell ref="P30:P31"/>
    <mergeCell ref="O38:O39"/>
    <mergeCell ref="N38:N39"/>
    <mergeCell ref="L30:L31"/>
    <mergeCell ref="K32:K33"/>
    <mergeCell ref="F32:F33"/>
    <mergeCell ref="I26:J27"/>
    <mergeCell ref="G28:H29"/>
    <mergeCell ref="I32:J33"/>
    <mergeCell ref="M34:M35"/>
    <mergeCell ref="L34:L35"/>
    <mergeCell ref="K34:K35"/>
    <mergeCell ref="I34:J35"/>
    <mergeCell ref="L32:L33"/>
    <mergeCell ref="M30:M31"/>
    <mergeCell ref="L28:L29"/>
    <mergeCell ref="A34:A35"/>
    <mergeCell ref="B34:C35"/>
    <mergeCell ref="D34:E35"/>
    <mergeCell ref="A32:A33"/>
    <mergeCell ref="B32:C33"/>
    <mergeCell ref="D32:E33"/>
    <mergeCell ref="I30:J31"/>
    <mergeCell ref="K30:K31"/>
    <mergeCell ref="A30:A31"/>
    <mergeCell ref="D30:E31"/>
    <mergeCell ref="F30:F31"/>
    <mergeCell ref="G32:H33"/>
    <mergeCell ref="G30:H31"/>
    <mergeCell ref="G34:H35"/>
    <mergeCell ref="B30:C31"/>
    <mergeCell ref="A42:A43"/>
    <mergeCell ref="B42:C43"/>
    <mergeCell ref="D42:E43"/>
    <mergeCell ref="F42:F43"/>
    <mergeCell ref="G42:H43"/>
    <mergeCell ref="I42:J43"/>
    <mergeCell ref="D38:E39"/>
    <mergeCell ref="F38:F39"/>
    <mergeCell ref="K42:K43"/>
    <mergeCell ref="Q64:Q65"/>
    <mergeCell ref="Q46:Q47"/>
    <mergeCell ref="O54:O55"/>
    <mergeCell ref="O56:O57"/>
    <mergeCell ref="O64:O65"/>
    <mergeCell ref="P64:P65"/>
    <mergeCell ref="O60:O61"/>
    <mergeCell ref="P56:P57"/>
    <mergeCell ref="Q50:Q51"/>
    <mergeCell ref="P60:P61"/>
    <mergeCell ref="O62:O63"/>
    <mergeCell ref="O52:O53"/>
    <mergeCell ref="P46:P47"/>
    <mergeCell ref="Q48:Q49"/>
    <mergeCell ref="Q52:Q53"/>
    <mergeCell ref="P54:P55"/>
    <mergeCell ref="P62:P63"/>
    <mergeCell ref="Q62:Q63"/>
    <mergeCell ref="Q54:Q55"/>
    <mergeCell ref="Q56:Q57"/>
    <mergeCell ref="Q60:Q61"/>
    <mergeCell ref="O46:O47"/>
    <mergeCell ref="M64:M65"/>
    <mergeCell ref="N64:N65"/>
    <mergeCell ref="A5:B5"/>
    <mergeCell ref="F34:F35"/>
    <mergeCell ref="F40:F41"/>
    <mergeCell ref="F44:F45"/>
    <mergeCell ref="G38:H39"/>
    <mergeCell ref="N40:N41"/>
    <mergeCell ref="G40:H41"/>
    <mergeCell ref="I40:J41"/>
    <mergeCell ref="A40:A41"/>
    <mergeCell ref="B40:C41"/>
    <mergeCell ref="D40:E41"/>
    <mergeCell ref="L38:L39"/>
    <mergeCell ref="I38:J39"/>
    <mergeCell ref="K38:K39"/>
    <mergeCell ref="A38:A39"/>
    <mergeCell ref="B38:C39"/>
    <mergeCell ref="L54:L55"/>
    <mergeCell ref="M54:M55"/>
    <mergeCell ref="M52:M53"/>
    <mergeCell ref="K54:K55"/>
    <mergeCell ref="D46:E47"/>
    <mergeCell ref="G48:H49"/>
    <mergeCell ref="B64:E64"/>
    <mergeCell ref="F64:F65"/>
    <mergeCell ref="G64:H65"/>
    <mergeCell ref="I64:J65"/>
    <mergeCell ref="K64:K65"/>
    <mergeCell ref="B46:C47"/>
    <mergeCell ref="I50:J51"/>
    <mergeCell ref="L64:L65"/>
    <mergeCell ref="K48:K49"/>
    <mergeCell ref="L56:L57"/>
    <mergeCell ref="B62:E62"/>
    <mergeCell ref="B63:E63"/>
    <mergeCell ref="I60:J61"/>
    <mergeCell ref="I62:J63"/>
    <mergeCell ref="F60:F61"/>
    <mergeCell ref="F62:F63"/>
    <mergeCell ref="G60:H61"/>
    <mergeCell ref="G62:H63"/>
    <mergeCell ref="F56:F57"/>
    <mergeCell ref="A60:E61"/>
    <mergeCell ref="A56:A57"/>
    <mergeCell ref="I56:J57"/>
    <mergeCell ref="B54:C55"/>
    <mergeCell ref="B56:C57"/>
    <mergeCell ref="D54:E55"/>
    <mergeCell ref="D56:E57"/>
    <mergeCell ref="I54:J55"/>
    <mergeCell ref="G56:H57"/>
    <mergeCell ref="F52:F53"/>
    <mergeCell ref="G52:H53"/>
    <mergeCell ref="I52:J53"/>
    <mergeCell ref="L24:L25"/>
    <mergeCell ref="L26:L27"/>
    <mergeCell ref="I48:J49"/>
    <mergeCell ref="L40:L41"/>
    <mergeCell ref="I36:J37"/>
    <mergeCell ref="K36:K37"/>
    <mergeCell ref="L36:L37"/>
    <mergeCell ref="L42:L43"/>
    <mergeCell ref="A28:A29"/>
    <mergeCell ref="D28:E29"/>
    <mergeCell ref="F28:F29"/>
    <mergeCell ref="I28:J29"/>
    <mergeCell ref="K28:K29"/>
    <mergeCell ref="I22:J23"/>
    <mergeCell ref="A24:A25"/>
    <mergeCell ref="D24:E25"/>
    <mergeCell ref="F24:F25"/>
    <mergeCell ref="G24:H25"/>
    <mergeCell ref="K22:K23"/>
    <mergeCell ref="P18:P19"/>
    <mergeCell ref="B24:C25"/>
    <mergeCell ref="B26:C27"/>
    <mergeCell ref="B28:C29"/>
    <mergeCell ref="K16:K17"/>
    <mergeCell ref="K26:K27"/>
    <mergeCell ref="A18:A19"/>
    <mergeCell ref="B18:C19"/>
    <mergeCell ref="D18:E19"/>
    <mergeCell ref="F18:F19"/>
    <mergeCell ref="G18:H19"/>
    <mergeCell ref="A16:A17"/>
    <mergeCell ref="B16:C17"/>
    <mergeCell ref="D16:E17"/>
    <mergeCell ref="F16:F17"/>
    <mergeCell ref="G16:H17"/>
    <mergeCell ref="I16:J17"/>
    <mergeCell ref="A20:A21"/>
    <mergeCell ref="B20:C21"/>
    <mergeCell ref="D20:E21"/>
    <mergeCell ref="F20:F21"/>
    <mergeCell ref="G20:H21"/>
    <mergeCell ref="L18:L19"/>
    <mergeCell ref="L22:L23"/>
    <mergeCell ref="M18:M19"/>
    <mergeCell ref="I20:J21"/>
    <mergeCell ref="K20:K21"/>
    <mergeCell ref="L20:L21"/>
    <mergeCell ref="L16:L17"/>
    <mergeCell ref="Q26:Q27"/>
    <mergeCell ref="P20:P21"/>
    <mergeCell ref="Q20:Q21"/>
    <mergeCell ref="Q18:Q19"/>
    <mergeCell ref="O22:O23"/>
    <mergeCell ref="P22:P23"/>
    <mergeCell ref="Q22:Q23"/>
    <mergeCell ref="M20:M21"/>
    <mergeCell ref="N18:N19"/>
    <mergeCell ref="O18:O19"/>
    <mergeCell ref="Q16:Q17"/>
    <mergeCell ref="P26:P27"/>
    <mergeCell ref="N26:N27"/>
    <mergeCell ref="N22:N23"/>
    <mergeCell ref="P24:P25"/>
    <mergeCell ref="Q24:Q25"/>
    <mergeCell ref="N24:N25"/>
    <mergeCell ref="O24:O25"/>
    <mergeCell ref="M16:M17"/>
    <mergeCell ref="L14:L15"/>
    <mergeCell ref="H11:J11"/>
    <mergeCell ref="G13:H13"/>
    <mergeCell ref="I13:J13"/>
    <mergeCell ref="A12:A13"/>
    <mergeCell ref="B12:C13"/>
    <mergeCell ref="D12:E13"/>
    <mergeCell ref="A14:A15"/>
    <mergeCell ref="B14:C15"/>
    <mergeCell ref="D14:E15"/>
    <mergeCell ref="F14:F15"/>
    <mergeCell ref="G14:H15"/>
    <mergeCell ref="I14:J15"/>
    <mergeCell ref="K12:O12"/>
    <mergeCell ref="K11:L11"/>
    <mergeCell ref="M11:O11"/>
    <mergeCell ref="K14:K15"/>
    <mergeCell ref="A1:Q2"/>
    <mergeCell ref="A3:B3"/>
    <mergeCell ref="D3:F3"/>
    <mergeCell ref="G3:H3"/>
    <mergeCell ref="O3:O4"/>
    <mergeCell ref="P3:P4"/>
    <mergeCell ref="A6:B6"/>
    <mergeCell ref="I6:L6"/>
    <mergeCell ref="M6:P6"/>
    <mergeCell ref="C6:H6"/>
    <mergeCell ref="L3:L4"/>
    <mergeCell ref="M3:N4"/>
    <mergeCell ref="I5:L5"/>
    <mergeCell ref="M5:P5"/>
    <mergeCell ref="A4:B4"/>
    <mergeCell ref="D4:F4"/>
    <mergeCell ref="G4:H4"/>
    <mergeCell ref="C5:H5"/>
    <mergeCell ref="Q12:Q13"/>
    <mergeCell ref="K10:L10"/>
    <mergeCell ref="M10:O10"/>
    <mergeCell ref="A7:P7"/>
    <mergeCell ref="F10:G10"/>
    <mergeCell ref="H10:J10"/>
    <mergeCell ref="A8:P8"/>
    <mergeCell ref="A9:G9"/>
    <mergeCell ref="H9:Q9"/>
    <mergeCell ref="A10:B10"/>
    <mergeCell ref="A11:B11"/>
    <mergeCell ref="D11:E11"/>
    <mergeCell ref="F11:G11"/>
    <mergeCell ref="P12:P13"/>
    <mergeCell ref="F12:J12"/>
    <mergeCell ref="A46:A47"/>
    <mergeCell ref="I3:I4"/>
    <mergeCell ref="J3:K4"/>
    <mergeCell ref="I18:J19"/>
    <mergeCell ref="K18:K19"/>
    <mergeCell ref="A22:A23"/>
    <mergeCell ref="D22:E23"/>
    <mergeCell ref="F22:F23"/>
    <mergeCell ref="G22:H23"/>
    <mergeCell ref="F46:F47"/>
    <mergeCell ref="D10:E10"/>
    <mergeCell ref="A26:A27"/>
    <mergeCell ref="D26:E27"/>
    <mergeCell ref="F26:F27"/>
    <mergeCell ref="G26:H27"/>
    <mergeCell ref="B22:C23"/>
    <mergeCell ref="I24:J25"/>
    <mergeCell ref="K24:K25"/>
    <mergeCell ref="A36:A37"/>
    <mergeCell ref="B36:C37"/>
    <mergeCell ref="D36:E37"/>
    <mergeCell ref="F36:F37"/>
    <mergeCell ref="G36:H37"/>
    <mergeCell ref="K40:K41"/>
    <mergeCell ref="P42:P43"/>
    <mergeCell ref="Q42:Q43"/>
    <mergeCell ref="Q44:Q45"/>
    <mergeCell ref="O44:O45"/>
    <mergeCell ref="P44:P45"/>
    <mergeCell ref="M42:M43"/>
    <mergeCell ref="N42:N43"/>
    <mergeCell ref="P16:P17"/>
    <mergeCell ref="O16:O17"/>
    <mergeCell ref="N20:N21"/>
    <mergeCell ref="O20:O21"/>
    <mergeCell ref="M24:M25"/>
    <mergeCell ref="M26:M27"/>
    <mergeCell ref="M40:M41"/>
    <mergeCell ref="M22:M23"/>
    <mergeCell ref="Q28:Q29"/>
    <mergeCell ref="N30:N31"/>
    <mergeCell ref="O30:O31"/>
    <mergeCell ref="O26:O27"/>
    <mergeCell ref="P38:P39"/>
    <mergeCell ref="Q36:Q37"/>
    <mergeCell ref="Q38:Q39"/>
    <mergeCell ref="O34:O35"/>
    <mergeCell ref="Q34:Q35"/>
    <mergeCell ref="Q14:Q15"/>
    <mergeCell ref="N16:N17"/>
    <mergeCell ref="M28:M29"/>
    <mergeCell ref="N28:N29"/>
    <mergeCell ref="O28:O29"/>
    <mergeCell ref="P28:P29"/>
    <mergeCell ref="P40:P41"/>
    <mergeCell ref="M36:M37"/>
    <mergeCell ref="N36:N37"/>
    <mergeCell ref="O36:O37"/>
    <mergeCell ref="M38:M39"/>
    <mergeCell ref="M32:M33"/>
    <mergeCell ref="O14:O15"/>
    <mergeCell ref="Q40:Q41"/>
    <mergeCell ref="M14:M15"/>
    <mergeCell ref="N14:N15"/>
    <mergeCell ref="P14:P15"/>
    <mergeCell ref="P34:P35"/>
    <mergeCell ref="N34:N35"/>
    <mergeCell ref="Q32:Q33"/>
    <mergeCell ref="Q30:Q31"/>
    <mergeCell ref="N32:N33"/>
    <mergeCell ref="P32:P33"/>
    <mergeCell ref="O32:O33"/>
    <mergeCell ref="O42:O43"/>
    <mergeCell ref="O40:O41"/>
    <mergeCell ref="B52:C53"/>
    <mergeCell ref="D52:E53"/>
    <mergeCell ref="A52:A53"/>
    <mergeCell ref="G50:H51"/>
    <mergeCell ref="N48:N49"/>
    <mergeCell ref="O48:O49"/>
    <mergeCell ref="P48:P49"/>
    <mergeCell ref="P52:P53"/>
    <mergeCell ref="P50:P51"/>
    <mergeCell ref="M50:M51"/>
    <mergeCell ref="N50:N51"/>
    <mergeCell ref="O50:O51"/>
    <mergeCell ref="A44:A45"/>
    <mergeCell ref="B44:C45"/>
    <mergeCell ref="D44:E45"/>
    <mergeCell ref="G44:H45"/>
    <mergeCell ref="I44:J45"/>
    <mergeCell ref="K44:K45"/>
    <mergeCell ref="M44:M45"/>
    <mergeCell ref="N44:N45"/>
    <mergeCell ref="N46:N47"/>
    <mergeCell ref="L46:L47"/>
    <mergeCell ref="N62:N63"/>
    <mergeCell ref="A48:A49"/>
    <mergeCell ref="B48:C49"/>
    <mergeCell ref="L48:L49"/>
    <mergeCell ref="D48:E49"/>
    <mergeCell ref="N56:N57"/>
    <mergeCell ref="M60:M61"/>
    <mergeCell ref="M62:M63"/>
    <mergeCell ref="K60:K61"/>
    <mergeCell ref="K62:K63"/>
    <mergeCell ref="L60:L61"/>
    <mergeCell ref="L62:L63"/>
    <mergeCell ref="N52:N53"/>
    <mergeCell ref="L52:L53"/>
    <mergeCell ref="L50:L51"/>
    <mergeCell ref="N54:N55"/>
    <mergeCell ref="A50:A51"/>
    <mergeCell ref="B50:C51"/>
    <mergeCell ref="D50:E51"/>
    <mergeCell ref="F50:F51"/>
    <mergeCell ref="N60:N61"/>
    <mergeCell ref="M56:M57"/>
    <mergeCell ref="M48:M49"/>
    <mergeCell ref="K50:K51"/>
    <mergeCell ref="M46:M47"/>
    <mergeCell ref="L44:L45"/>
    <mergeCell ref="N58:N59"/>
    <mergeCell ref="O58:O59"/>
    <mergeCell ref="P58:P59"/>
    <mergeCell ref="Q58:Q59"/>
    <mergeCell ref="A58:A59"/>
    <mergeCell ref="B58:C59"/>
    <mergeCell ref="D58:E59"/>
    <mergeCell ref="F58:F59"/>
    <mergeCell ref="G58:H59"/>
    <mergeCell ref="I58:J59"/>
    <mergeCell ref="K58:K59"/>
    <mergeCell ref="L58:L59"/>
    <mergeCell ref="M58:M59"/>
    <mergeCell ref="G46:H47"/>
    <mergeCell ref="K46:K47"/>
    <mergeCell ref="K52:K53"/>
    <mergeCell ref="I46:J47"/>
    <mergeCell ref="K56:K57"/>
    <mergeCell ref="A54:A55"/>
    <mergeCell ref="G54:H55"/>
    <mergeCell ref="F48:F49"/>
    <mergeCell ref="F54:F55"/>
  </mergeCells>
  <phoneticPr fontId="0" type="noConversion"/>
  <conditionalFormatting sqref="D4:F4">
    <cfRule type="cellIs" dxfId="33" priority="3" stopIfTrue="1" operator="equal">
      <formula>0</formula>
    </cfRule>
  </conditionalFormatting>
  <conditionalFormatting sqref="A14:A15">
    <cfRule type="expression" dxfId="32" priority="1">
      <formula>$A$14=""</formula>
    </cfRule>
  </conditionalFormatting>
  <printOptions horizontalCentered="1" verticalCentered="1"/>
  <pageMargins left="0.19685039370078741" right="0.19685039370078741" top="0.23622047244094491" bottom="0.15748031496062992" header="0" footer="0.15748031496062992"/>
  <pageSetup paperSize="9" scale="68" orientation="landscape" r:id="rId1"/>
  <headerFooter alignWithMargins="0">
    <oddFooter>&amp;LForm152- Rev 05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DADOS!$A$2:$A$4</xm:f>
          </x14:formula1>
          <xm:sqref>P14:P63</xm:sqref>
        </x14:dataValidation>
        <x14:dataValidation type="list" allowBlank="1" showInputMessage="1" showErrorMessage="1">
          <x14:formula1>
            <xm:f>OFFSET(DADOS!$B$1,1,,COUNTA(DADOS!$B:$B)-1)</xm:f>
          </x14:formula1>
          <xm:sqref>B14:C15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3" tint="0.79998168889431442"/>
    <pageSetUpPr fitToPage="1"/>
  </sheetPr>
  <dimension ref="A1:Q54"/>
  <sheetViews>
    <sheetView showGridLines="0" view="pageBreakPreview" zoomScale="85" zoomScaleNormal="70" zoomScaleSheetLayoutView="85" workbookViewId="0">
      <selection activeCell="L32" sqref="L32:L33"/>
    </sheetView>
  </sheetViews>
  <sheetFormatPr defaultRowHeight="12.75"/>
  <cols>
    <col min="1" max="1" width="14.85546875" customWidth="1"/>
    <col min="2" max="2" width="8.85546875" customWidth="1"/>
    <col min="3" max="3" width="19.140625" customWidth="1"/>
    <col min="4" max="4" width="10.5703125" customWidth="1"/>
    <col min="5" max="5" width="8.7109375" customWidth="1"/>
    <col min="6" max="6" width="8" customWidth="1"/>
    <col min="7" max="7" width="9.85546875" customWidth="1"/>
    <col min="8" max="8" width="12.42578125" customWidth="1"/>
    <col min="9" max="9" width="7.42578125" customWidth="1"/>
    <col min="10" max="10" width="9.42578125" customWidth="1"/>
    <col min="11" max="11" width="22.5703125" customWidth="1"/>
    <col min="12" max="12" width="18.140625" customWidth="1"/>
    <col min="13" max="13" width="12.7109375" customWidth="1"/>
    <col min="14" max="14" width="16.85546875" customWidth="1"/>
    <col min="15" max="15" width="12.5703125" customWidth="1"/>
    <col min="16" max="16" width="15.140625" customWidth="1"/>
    <col min="17" max="17" width="15.28515625" customWidth="1"/>
  </cols>
  <sheetData>
    <row r="1" spans="1:17" ht="12.75" customHeight="1">
      <c r="A1" s="212" t="s">
        <v>0</v>
      </c>
      <c r="B1" s="213"/>
      <c r="C1" s="213"/>
      <c r="D1" s="213"/>
      <c r="E1" s="213"/>
      <c r="F1" s="213"/>
      <c r="G1" s="213"/>
      <c r="H1" s="213"/>
      <c r="I1" s="213"/>
      <c r="J1" s="213"/>
      <c r="K1" s="213"/>
      <c r="L1" s="213"/>
      <c r="M1" s="213"/>
      <c r="N1" s="213"/>
      <c r="O1" s="213"/>
      <c r="P1" s="213"/>
      <c r="Q1" s="214"/>
    </row>
    <row r="2" spans="1:17" ht="13.5" customHeight="1" thickBot="1">
      <c r="A2" s="215"/>
      <c r="B2" s="216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7"/>
    </row>
    <row r="3" spans="1:17" ht="12.75" customHeight="1">
      <c r="A3" s="218" t="s">
        <v>1</v>
      </c>
      <c r="B3" s="219"/>
      <c r="C3" s="3" t="s">
        <v>34</v>
      </c>
      <c r="D3" s="220" t="s">
        <v>2</v>
      </c>
      <c r="E3" s="220"/>
      <c r="F3" s="220"/>
      <c r="G3" s="221" t="s">
        <v>33</v>
      </c>
      <c r="H3" s="222"/>
      <c r="I3" s="262" t="str">
        <f>IF('MATERIA PRIMA'!I3:I4="","",'MATERIA PRIMA'!I3:I4)</f>
        <v/>
      </c>
      <c r="J3" s="244" t="s">
        <v>708</v>
      </c>
      <c r="K3" s="244"/>
      <c r="L3" s="271" t="str">
        <f>IF('MATERIA PRIMA'!L3:L4="","",'MATERIA PRIMA'!L3:L4)</f>
        <v/>
      </c>
      <c r="M3" s="248" t="s">
        <v>710</v>
      </c>
      <c r="N3" s="248"/>
      <c r="O3" s="271" t="str">
        <f>IF('MATERIA PRIMA'!O3:O4="","",'MATERIA PRIMA'!O3:O4)</f>
        <v>X</v>
      </c>
      <c r="P3" s="250" t="s">
        <v>22</v>
      </c>
      <c r="Q3" s="26" t="s">
        <v>4</v>
      </c>
    </row>
    <row r="4" spans="1:17" ht="12.75" customHeight="1">
      <c r="A4" s="277" t="str">
        <f>IF('MATERIA PRIMA'!A4:B4="","",'MATERIA PRIMA'!A4:B4)</f>
        <v/>
      </c>
      <c r="B4" s="278"/>
      <c r="C4" s="27" t="str">
        <f>IF('MATERIA PRIMA'!C4="","",'MATERIA PRIMA'!C4)</f>
        <v/>
      </c>
      <c r="D4" s="279" t="str">
        <f>IF('MATERIA PRIMA'!D4:F4="","",'MATERIA PRIMA'!D4:F4)</f>
        <v/>
      </c>
      <c r="E4" s="280"/>
      <c r="F4" s="280"/>
      <c r="G4" s="239" t="str">
        <f>IF('MATERIA PRIMA'!G4:H4="","",'MATERIA PRIMA'!G4:H4)</f>
        <v/>
      </c>
      <c r="H4" s="241"/>
      <c r="I4" s="263"/>
      <c r="J4" s="245"/>
      <c r="K4" s="245"/>
      <c r="L4" s="272"/>
      <c r="M4" s="249"/>
      <c r="N4" s="249"/>
      <c r="O4" s="272"/>
      <c r="P4" s="251"/>
      <c r="Q4" s="63">
        <f ca="1">_xlfn.SHEET()</f>
        <v>3</v>
      </c>
    </row>
    <row r="5" spans="1:17" ht="16.5" customHeight="1">
      <c r="A5" s="228" t="s">
        <v>21</v>
      </c>
      <c r="B5" s="229"/>
      <c r="C5" s="227" t="s">
        <v>3</v>
      </c>
      <c r="D5" s="191"/>
      <c r="E5" s="191"/>
      <c r="F5" s="191"/>
      <c r="G5" s="191"/>
      <c r="H5" s="192"/>
      <c r="I5" s="227" t="s">
        <v>5</v>
      </c>
      <c r="J5" s="191"/>
      <c r="K5" s="191"/>
      <c r="L5" s="192"/>
      <c r="M5" s="227" t="s">
        <v>29</v>
      </c>
      <c r="N5" s="191"/>
      <c r="O5" s="191"/>
      <c r="P5" s="192"/>
      <c r="Q5" s="28" t="s">
        <v>7</v>
      </c>
    </row>
    <row r="6" spans="1:17" ht="13.5" customHeight="1">
      <c r="A6" s="273" t="str">
        <f>IF('MATERIA PRIMA'!A6:B6="","",'MATERIA PRIMA'!A6:B6)</f>
        <v/>
      </c>
      <c r="B6" s="274"/>
      <c r="C6" s="275" t="str">
        <f>IF('MATERIA PRIMA'!C6:H6="","",'MATERIA PRIMA'!C6:H6)</f>
        <v/>
      </c>
      <c r="D6" s="276"/>
      <c r="E6" s="276"/>
      <c r="F6" s="276"/>
      <c r="G6" s="276"/>
      <c r="H6" s="274"/>
      <c r="I6" s="239" t="s">
        <v>6</v>
      </c>
      <c r="J6" s="240"/>
      <c r="K6" s="240"/>
      <c r="L6" s="241"/>
      <c r="M6" s="275" t="str">
        <f>IF('MATERIA PRIMA'!M6:P6="","",'MATERIA PRIMA'!M6:P6)</f>
        <v/>
      </c>
      <c r="N6" s="276"/>
      <c r="O6" s="276"/>
      <c r="P6" s="274"/>
      <c r="Q6" s="38" t="str">
        <f>IF('INSP. FINAL'!Q6="","",'INSP. FINAL'!Q6)</f>
        <v/>
      </c>
    </row>
    <row r="7" spans="1:17">
      <c r="A7" s="190" t="s">
        <v>28</v>
      </c>
      <c r="B7" s="191"/>
      <c r="C7" s="191"/>
      <c r="D7" s="191"/>
      <c r="E7" s="191"/>
      <c r="F7" s="191"/>
      <c r="G7" s="191"/>
      <c r="H7" s="191"/>
      <c r="I7" s="191"/>
      <c r="J7" s="191"/>
      <c r="K7" s="191"/>
      <c r="L7" s="191"/>
      <c r="M7" s="191"/>
      <c r="N7" s="191"/>
      <c r="O7" s="191"/>
      <c r="P7" s="192"/>
      <c r="Q7" s="28" t="s">
        <v>8</v>
      </c>
    </row>
    <row r="8" spans="1:17" ht="17.25" customHeight="1">
      <c r="A8" s="266" t="str">
        <f>IF('MATERIA PRIMA'!A8:P8="","",'MATERIA PRIMA'!A8:P8)</f>
        <v/>
      </c>
      <c r="B8" s="267"/>
      <c r="C8" s="267"/>
      <c r="D8" s="267"/>
      <c r="E8" s="267"/>
      <c r="F8" s="267"/>
      <c r="G8" s="267"/>
      <c r="H8" s="267"/>
      <c r="I8" s="267"/>
      <c r="J8" s="267"/>
      <c r="K8" s="267"/>
      <c r="L8" s="267"/>
      <c r="M8" s="267"/>
      <c r="N8" s="267"/>
      <c r="O8" s="267"/>
      <c r="P8" s="268"/>
      <c r="Q8" s="38" t="str">
        <f>IF('INSP. FINAL'!Q8="","",'INSP. FINAL'!Q8)</f>
        <v/>
      </c>
    </row>
    <row r="9" spans="1:17" ht="14.25" customHeight="1">
      <c r="A9" s="208" t="s">
        <v>9</v>
      </c>
      <c r="B9" s="223"/>
      <c r="C9" s="223"/>
      <c r="D9" s="223"/>
      <c r="E9" s="223"/>
      <c r="F9" s="223"/>
      <c r="G9" s="186"/>
      <c r="H9" s="224" t="s">
        <v>26</v>
      </c>
      <c r="I9" s="225"/>
      <c r="J9" s="225"/>
      <c r="K9" s="225"/>
      <c r="L9" s="225"/>
      <c r="M9" s="225"/>
      <c r="N9" s="225"/>
      <c r="O9" s="225"/>
      <c r="P9" s="225"/>
      <c r="Q9" s="226"/>
    </row>
    <row r="10" spans="1:17">
      <c r="A10" s="208" t="s">
        <v>10</v>
      </c>
      <c r="B10" s="186"/>
      <c r="C10" s="36" t="s">
        <v>11</v>
      </c>
      <c r="D10" s="185" t="s">
        <v>12</v>
      </c>
      <c r="E10" s="186"/>
      <c r="F10" s="185" t="s">
        <v>11</v>
      </c>
      <c r="G10" s="186"/>
      <c r="H10" s="196"/>
      <c r="I10" s="197"/>
      <c r="J10" s="198"/>
      <c r="K10" s="185" t="s">
        <v>11</v>
      </c>
      <c r="L10" s="186"/>
      <c r="M10" s="187"/>
      <c r="N10" s="188"/>
      <c r="O10" s="189"/>
      <c r="P10" s="46"/>
      <c r="Q10" s="2" t="s">
        <v>11</v>
      </c>
    </row>
    <row r="11" spans="1:17" ht="13.5" thickBot="1">
      <c r="A11" s="202"/>
      <c r="B11" s="203"/>
      <c r="C11" s="60"/>
      <c r="D11" s="204"/>
      <c r="E11" s="203"/>
      <c r="F11" s="204"/>
      <c r="G11" s="203"/>
      <c r="H11" s="209"/>
      <c r="I11" s="210"/>
      <c r="J11" s="211"/>
      <c r="K11" s="204"/>
      <c r="L11" s="203"/>
      <c r="M11" s="205"/>
      <c r="N11" s="206"/>
      <c r="O11" s="207"/>
      <c r="P11" s="61"/>
      <c r="Q11" s="62"/>
    </row>
    <row r="12" spans="1:17">
      <c r="A12" s="252" t="s">
        <v>31</v>
      </c>
      <c r="B12" s="254" t="s">
        <v>15</v>
      </c>
      <c r="C12" s="255"/>
      <c r="D12" s="254" t="s">
        <v>16</v>
      </c>
      <c r="E12" s="255"/>
      <c r="F12" s="323" t="s">
        <v>20</v>
      </c>
      <c r="G12" s="323"/>
      <c r="H12" s="323"/>
      <c r="I12" s="323"/>
      <c r="J12" s="323"/>
      <c r="K12" s="322" t="s">
        <v>23</v>
      </c>
      <c r="L12" s="322"/>
      <c r="M12" s="322"/>
      <c r="N12" s="322"/>
      <c r="O12" s="322"/>
      <c r="P12" s="200" t="s">
        <v>711</v>
      </c>
      <c r="Q12" s="172" t="s">
        <v>13</v>
      </c>
    </row>
    <row r="13" spans="1:17" ht="23.25" customHeight="1">
      <c r="A13" s="253"/>
      <c r="B13" s="256"/>
      <c r="C13" s="257"/>
      <c r="D13" s="256"/>
      <c r="E13" s="257"/>
      <c r="F13" s="47" t="s">
        <v>17</v>
      </c>
      <c r="G13" s="174" t="s">
        <v>18</v>
      </c>
      <c r="H13" s="174"/>
      <c r="I13" s="174" t="s">
        <v>19</v>
      </c>
      <c r="J13" s="174"/>
      <c r="K13" s="1" t="s">
        <v>25</v>
      </c>
      <c r="L13" s="1" t="s">
        <v>30</v>
      </c>
      <c r="M13" s="1" t="s">
        <v>24</v>
      </c>
      <c r="N13" s="1" t="s">
        <v>27</v>
      </c>
      <c r="O13" s="1" t="s">
        <v>14</v>
      </c>
      <c r="P13" s="201"/>
      <c r="Q13" s="173"/>
    </row>
    <row r="14" spans="1:17">
      <c r="A14" s="136"/>
      <c r="B14" s="137" t="s">
        <v>726</v>
      </c>
      <c r="C14" s="137"/>
      <c r="D14" s="318" t="s">
        <v>44</v>
      </c>
      <c r="E14" s="319"/>
      <c r="F14" s="150" t="str">
        <f>IF(G14&lt;&gt;"",$A$14&amp;"."&amp;(ROW(G14)-12)/2,"")</f>
        <v>.1</v>
      </c>
      <c r="G14" s="137" t="str">
        <f>INDEX(ETM!E:E,MATCH($B$16,ETM!D:D,0))</f>
        <v>CARBONETAÇÃO</v>
      </c>
      <c r="H14" s="137"/>
      <c r="I14" s="137"/>
      <c r="J14" s="137"/>
      <c r="K14" s="146" t="str">
        <f>IF(INDEX(ETM!D:J,MATCH($B$16,ETM!D:D,0),3)&lt;&gt;"",
                                    INDEX(ETM!D:J,MATCH($B$16,ETM!D:D,0),3),
                                    IF(INDEX(ETM!D:J,MATCH($B$16,ETM!D:D,0),4)&lt;&gt;"",IF(INDEX(ETM!D:J,MATCH($B$16,ETM!D:D,0),5)&lt;&gt;"",INDEX(ETM!D:J,MATCH($B$16,ETM!D:D,0),4)&amp;" - "&amp;INDEX(ETM!D:J,MATCH($B$16,ETM!D:D,0),5),
                                                      IF(INDEX(ETM!D:J,MATCH($B$16,ETM!D:D,0),5)="",INDEX(ETM!D:J,MATCH($B$16,ETM!D:D,0),4)&amp;" MÍN.")),INDEX(ETM!D:J,MATCH($B$16,ETM!D:D,0),5)&amp;" MÁX."))</f>
        <v>ISENTO</v>
      </c>
      <c r="L14" s="146" t="str">
        <f>INDEX(ETM!D:J,MATCH($B$16,ETM!D:D,0),6)</f>
        <v>MICROSCÓPIO METALOGRÁFICO</v>
      </c>
      <c r="M14" s="146">
        <f>INDEX(ETM!D:J,MATCH($B$16,ETM!D:D,0),7)</f>
        <v>1</v>
      </c>
      <c r="N14" s="146" t="str">
        <f>IF(G14="","","LOTE")</f>
        <v>LOTE</v>
      </c>
      <c r="O14" s="146" t="str">
        <f>IF(G14="","","RELAT. INSP. TRAT. TERM.")</f>
        <v>RELAT. INSP. TRAT. TERM.</v>
      </c>
      <c r="P14" s="259" t="str">
        <f>IF(G14="","","C")</f>
        <v>C</v>
      </c>
      <c r="Q14" s="307" t="str">
        <f>IF(G14="","","IT 9.4.9")</f>
        <v>IT 9.4.9</v>
      </c>
    </row>
    <row r="15" spans="1:17">
      <c r="A15" s="136"/>
      <c r="B15" s="137"/>
      <c r="C15" s="137"/>
      <c r="D15" s="320"/>
      <c r="E15" s="321"/>
      <c r="F15" s="150"/>
      <c r="G15" s="137"/>
      <c r="H15" s="137"/>
      <c r="I15" s="137"/>
      <c r="J15" s="137"/>
      <c r="K15" s="147"/>
      <c r="L15" s="147"/>
      <c r="M15" s="147"/>
      <c r="N15" s="147"/>
      <c r="O15" s="147"/>
      <c r="P15" s="260"/>
      <c r="Q15" s="308"/>
    </row>
    <row r="16" spans="1:17" ht="12.75" customHeight="1">
      <c r="A16" s="136"/>
      <c r="B16" s="137" t="s">
        <v>873</v>
      </c>
      <c r="C16" s="137"/>
      <c r="D16" s="138"/>
      <c r="E16" s="139"/>
      <c r="F16" s="150" t="str">
        <f>IF(G16&lt;&gt;"",$A$14&amp;"."&amp;(ROW(G16)-12)/2,"")</f>
        <v>.2</v>
      </c>
      <c r="G16" s="137" t="str">
        <f>IF(COUNTIF(ETM!D:D,$B$16)&gt;=(ROW(R16)/2-6),INDEX(ETM!E:E,MATCH($B$16,ETM!D:D,0)+(ROW(R16)/2-7)),"")</f>
        <v>DESCARBONETAÇÃO PARCIAL</v>
      </c>
      <c r="H16" s="137"/>
      <c r="I16" s="137"/>
      <c r="J16" s="137"/>
      <c r="K16" s="146" t="str">
        <f>IF(INDEX(ETM!D:J,MATCH($B$16,ETM!D:D,0)+1,3)&lt;&gt;"",
                                    INDEX(ETM!D:J,MATCH($B$16,ETM!D:D,0)+1,3),
                                    IF(INDEX(ETM!D:J,MATCH($B$16,ETM!D:D,0)+1,4)&lt;&gt;"",IF(INDEX(ETM!D:J,MATCH($B$16,ETM!D:D,0)+1,5)&lt;&gt;"",INDEX(ETM!D:J,MATCH($B$16,ETM!D:D,0)+1,4)&amp;" - "&amp;INDEX(ETM!D:J,MATCH($B$16,ETM!D:D,0)+1,5),
                                                      IF(INDEX(ETM!D:J,MATCH($B$16,ETM!D:D,0)+1,5)="",INDEX(ETM!D:J,MATCH($B$16,ETM!D:D,0)+1,4)&amp;" MÍN.")),INDEX(ETM!D:J,MATCH($B$16,ETM!D:D,0)+1,5)&amp;" MÁX."))</f>
        <v>2/3H1 MÁX.</v>
      </c>
      <c r="L16" s="146" t="str">
        <f>INDEX(ETM!$D:$J,MATCH($B$16,ETM!$D:$D,0)+1,6)</f>
        <v>MICROSCÓPIO METALOGRÁFICO</v>
      </c>
      <c r="M16" s="146">
        <f>INDEX(ETM!$D:$J,MATCH($B$16,ETM!$D:$D,0)+1,7)</f>
        <v>1</v>
      </c>
      <c r="N16" s="146" t="str">
        <f>IF(G16="","","LOTE")</f>
        <v>LOTE</v>
      </c>
      <c r="O16" s="146" t="str">
        <f>IF(G16="","","RELAT. INSP. TRAT. TERM.")</f>
        <v>RELAT. INSP. TRAT. TERM.</v>
      </c>
      <c r="P16" s="259" t="str">
        <f>IF(G16="","","C")</f>
        <v>C</v>
      </c>
      <c r="Q16" s="307" t="str">
        <f>IF(G16="","","IT 9.4.9")</f>
        <v>IT 9.4.9</v>
      </c>
    </row>
    <row r="17" spans="1:17">
      <c r="A17" s="136"/>
      <c r="B17" s="137"/>
      <c r="C17" s="137"/>
      <c r="D17" s="140"/>
      <c r="E17" s="141"/>
      <c r="F17" s="150"/>
      <c r="G17" s="137"/>
      <c r="H17" s="137"/>
      <c r="I17" s="137"/>
      <c r="J17" s="137"/>
      <c r="K17" s="147"/>
      <c r="L17" s="147"/>
      <c r="M17" s="147"/>
      <c r="N17" s="147"/>
      <c r="O17" s="147"/>
      <c r="P17" s="260"/>
      <c r="Q17" s="308"/>
    </row>
    <row r="18" spans="1:17" ht="12.75" customHeight="1">
      <c r="A18" s="136"/>
      <c r="B18" s="137"/>
      <c r="C18" s="137"/>
      <c r="D18" s="137"/>
      <c r="E18" s="137"/>
      <c r="F18" s="150" t="str">
        <f>IF(G18&lt;&gt;"",$A$14&amp;"."&amp;(ROW(G18)-12)/2,"")</f>
        <v>.3</v>
      </c>
      <c r="G18" s="137" t="str">
        <f>IF(COUNTIF(ETM!D:D,$B$16)&gt;=(ROW(R18)/2-6),INDEX(ETM!E:E,MATCH($B$16,ETM!D:D,0)+(ROW(R18)/2-7)),"")</f>
        <v>DESCARBONETAÇÃO TOTAL</v>
      </c>
      <c r="H18" s="137"/>
      <c r="I18" s="137"/>
      <c r="J18" s="137"/>
      <c r="K18" s="146" t="str">
        <f>IF(INDEX(ETM!D:J,MATCH($B$16,ETM!D:D,0)+2,3)&lt;&gt;"",
                                    INDEX(ETM!D:J,MATCH($B$16,ETM!D:D,0)+2,3),
                                    IF(INDEX(ETM!D:J,MATCH($B$16,ETM!D:D,0)+2,4)&lt;&gt;"",IF(INDEX(ETM!D:J,MATCH($B$16,ETM!D:D,0)+2,5)&lt;&gt;"",INDEX(ETM!D:J,MATCH($B$16,ETM!D:D,0)+2,4)&amp;" - "&amp;INDEX(ETM!D:J,MATCH($B$16,ETM!D:D,0)+2,5),
                                                      IF(INDEX(ETM!D:J,MATCH($B$16,ETM!D:D,0)+2,5)="",INDEX(ETM!D:J,MATCH($B$16,ETM!D:D,0)+2,4)&amp;" MÍN.")),INDEX(ETM!D:J,MATCH($B$16,ETM!D:D,0)+2,5)&amp;" MÁX."))</f>
        <v>0,015 MÁX.</v>
      </c>
      <c r="L18" s="146" t="str">
        <f>INDEX(ETM!$D:$J,MATCH($B$16,ETM!$D:$D,0)+2,6)</f>
        <v>MICROSCÓPIO METALOGRÁFICO</v>
      </c>
      <c r="M18" s="146">
        <f>INDEX(ETM!$D:$J,MATCH($B$16,ETM!$D:$D,0)+2,7)</f>
        <v>1</v>
      </c>
      <c r="N18" s="146" t="str">
        <f>IF(G18="","","LOTE")</f>
        <v>LOTE</v>
      </c>
      <c r="O18" s="146" t="str">
        <f>IF(G18="","","RELAT. INSP. TRAT. TERM.")</f>
        <v>RELAT. INSP. TRAT. TERM.</v>
      </c>
      <c r="P18" s="259" t="str">
        <f>IF(G18="","","C")</f>
        <v>C</v>
      </c>
      <c r="Q18" s="307" t="str">
        <f>IF(G18="","","IT 9.4.9")</f>
        <v>IT 9.4.9</v>
      </c>
    </row>
    <row r="19" spans="1:17">
      <c r="A19" s="136"/>
      <c r="B19" s="137"/>
      <c r="C19" s="137"/>
      <c r="D19" s="137"/>
      <c r="E19" s="137"/>
      <c r="F19" s="150"/>
      <c r="G19" s="137"/>
      <c r="H19" s="137"/>
      <c r="I19" s="137"/>
      <c r="J19" s="137"/>
      <c r="K19" s="147"/>
      <c r="L19" s="147"/>
      <c r="M19" s="147"/>
      <c r="N19" s="147"/>
      <c r="O19" s="147"/>
      <c r="P19" s="260"/>
      <c r="Q19" s="308"/>
    </row>
    <row r="20" spans="1:17" ht="12.75" customHeight="1">
      <c r="A20" s="136"/>
      <c r="B20" s="137"/>
      <c r="C20" s="137"/>
      <c r="D20" s="137"/>
      <c r="E20" s="137"/>
      <c r="F20" s="150" t="str">
        <f>IF(G20&lt;&gt;"",$A$14&amp;"."&amp;(ROW(G20)-12)/2,"")</f>
        <v>.4</v>
      </c>
      <c r="G20" s="137" t="str">
        <f>IF(COUNTIF(ETM!D:D,$B$16)&gt;=(ROW(R20)/2-6),INDEX(ETM!E:E,MATCH($B$16,ETM!D:D,0)+(ROW(R20)/2-7)),"")</f>
        <v>DOBRAS, TRINCAS E DEFEITOS SUPERFICIAIS</v>
      </c>
      <c r="H20" s="137"/>
      <c r="I20" s="137"/>
      <c r="J20" s="137"/>
      <c r="K20" s="146" t="str">
        <f>IF(INDEX(ETM!D:J,MATCH($B$16,ETM!D:D,0)+3,3)&lt;&gt;"",
                                    INDEX(ETM!D:J,MATCH($B$16,ETM!D:D,0)+3,3),
                                    IF(INDEX(ETM!D:J,MATCH($B$16,ETM!D:D,0)+3,4)&lt;&gt;"",IF(INDEX(ETM!D:J,MATCH($B$16,ETM!D:D,0)+3,5)&lt;&gt;"",INDEX(ETM!D:J,MATCH($B$16,ETM!D:D,0)+3,4)&amp;" - "&amp;INDEX(ETM!D:J,MATCH($B$16,ETM!D:D,0)+3,5),
                                                      IF(INDEX(ETM!D:J,MATCH($B$16,ETM!D:D,0)+3,5)="",INDEX(ETM!D:J,MATCH($B$16,ETM!D:D,0)+3,4)&amp;" MÍN.")),INDEX(ETM!D:J,MATCH($B$16,ETM!D:D,0)+3,5)&amp;" MÁX."))</f>
        <v>ETM 063 / ETM 067</v>
      </c>
      <c r="L20" s="146" t="str">
        <f>INDEX(ETM!$D:$J,MATCH($B$16,ETM!$D:$D,0)+3,6)</f>
        <v>MICROSCÓPIO METALOGRÁFICO</v>
      </c>
      <c r="M20" s="146">
        <f>INDEX(ETM!$D:$J,MATCH($B$16,ETM!$D:$D,0)+3,7)</f>
        <v>1</v>
      </c>
      <c r="N20" s="146" t="str">
        <f>IF(G20="","","LOTE")</f>
        <v>LOTE</v>
      </c>
      <c r="O20" s="146" t="str">
        <f>IF(G20="","","RELAT. INSP. TRAT. TERM.")</f>
        <v>RELAT. INSP. TRAT. TERM.</v>
      </c>
      <c r="P20" s="259" t="str">
        <f>IF(G20="","","C")</f>
        <v>C</v>
      </c>
      <c r="Q20" s="307" t="str">
        <f>IF(G20="","","IT 9.4.9")</f>
        <v>IT 9.4.9</v>
      </c>
    </row>
    <row r="21" spans="1:17">
      <c r="A21" s="136"/>
      <c r="B21" s="137"/>
      <c r="C21" s="137"/>
      <c r="D21" s="137"/>
      <c r="E21" s="137"/>
      <c r="F21" s="150"/>
      <c r="G21" s="137"/>
      <c r="H21" s="137"/>
      <c r="I21" s="137"/>
      <c r="J21" s="137"/>
      <c r="K21" s="147"/>
      <c r="L21" s="147"/>
      <c r="M21" s="147"/>
      <c r="N21" s="147"/>
      <c r="O21" s="147"/>
      <c r="P21" s="260"/>
      <c r="Q21" s="308"/>
    </row>
    <row r="22" spans="1:17" ht="12.75" customHeight="1">
      <c r="A22" s="136"/>
      <c r="B22" s="137"/>
      <c r="C22" s="137"/>
      <c r="D22" s="137"/>
      <c r="E22" s="137"/>
      <c r="F22" s="150" t="str">
        <f>IF(G22&lt;&gt;"",$A$14&amp;"."&amp;(ROW(G22)-12)/2,"")</f>
        <v>.5</v>
      </c>
      <c r="G22" s="137" t="str">
        <f>IF(COUNTIF(ETM!D:D,$B$16)&gt;=(ROW(R22)/2-6),INDEX(ETM!E:E,MATCH($B$16,ETM!D:D,0)+(ROW(R22)/2-7)),"")</f>
        <v>DUREZA DO NÚCLEO</v>
      </c>
      <c r="H22" s="137"/>
      <c r="I22" s="137"/>
      <c r="J22" s="137"/>
      <c r="K22" s="146" t="str">
        <f>IF(INDEX(ETM!D:J,MATCH($B$16,ETM!D:D,0)+4,3)&lt;&gt;"",
                                    INDEX(ETM!D:J,MATCH($B$16,ETM!D:D,0)+4,3),
                                    IF(INDEX(ETM!D:J,MATCH($B$16,ETM!D:D,0)+4,4)&lt;&gt;"",IF(INDEX(ETM!D:J,MATCH($B$16,ETM!D:D,0)+4,5)&lt;&gt;"",INDEX(ETM!D:J,MATCH($B$16,ETM!D:D,0)+4,4)&amp;" - "&amp;INDEX(ETM!D:J,MATCH($B$16,ETM!D:D,0)+4,5)&amp;" " &amp;INDEX(ETM!D:L,MATCH($B$16,ETM!D:D,0)+4,9),
                                                      IF(INDEX(ETM!D:J,MATCH($B$16,ETM!D:D,0)+4,5)="",INDEX(ETM!D:J,MATCH($B$16,ETM!D:D,0)+4,4)&amp;" MÍN.")),INDEX(ETM!D:J,MATCH($B$16,ETM!D:D,0)+4,5)&amp;" MÁX."))</f>
        <v>33 - 38 HRC</v>
      </c>
      <c r="L22" s="146" t="str">
        <f>INDEX(ETM!$D:$J,MATCH($B$16,ETM!$D:$D,0)+4,6)</f>
        <v>DURÔMETRO</v>
      </c>
      <c r="M22" s="146">
        <f>INDEX(ETM!$D:$J,MATCH($B$16,ETM!$D:$D,0)+4,7)</f>
        <v>2</v>
      </c>
      <c r="N22" s="146" t="str">
        <f>IF(G22="","","LOTE")</f>
        <v>LOTE</v>
      </c>
      <c r="O22" s="146" t="str">
        <f>IF(G22="","","RELAT. INSP. TRAT. TERM.")</f>
        <v>RELAT. INSP. TRAT. TERM.</v>
      </c>
      <c r="P22" s="259" t="str">
        <f>IF(G22="","","C")</f>
        <v>C</v>
      </c>
      <c r="Q22" s="307" t="str">
        <f>IF(G22="","","IT 9.4.9")</f>
        <v>IT 9.4.9</v>
      </c>
    </row>
    <row r="23" spans="1:17" ht="12.75" customHeight="1">
      <c r="A23" s="136"/>
      <c r="B23" s="137"/>
      <c r="C23" s="137"/>
      <c r="D23" s="137"/>
      <c r="E23" s="137"/>
      <c r="F23" s="150"/>
      <c r="G23" s="137"/>
      <c r="H23" s="137"/>
      <c r="I23" s="137"/>
      <c r="J23" s="137"/>
      <c r="K23" s="147"/>
      <c r="L23" s="147"/>
      <c r="M23" s="147"/>
      <c r="N23" s="147"/>
      <c r="O23" s="147"/>
      <c r="P23" s="260"/>
      <c r="Q23" s="308"/>
    </row>
    <row r="24" spans="1:17" ht="12.75" customHeight="1">
      <c r="A24" s="136"/>
      <c r="B24" s="137"/>
      <c r="C24" s="137"/>
      <c r="D24" s="137"/>
      <c r="E24" s="137"/>
      <c r="F24" s="150" t="str">
        <f>IF(G24&lt;&gt;"",$A$14&amp;"."&amp;(ROW(G24)-12)/2,"")</f>
        <v>.6</v>
      </c>
      <c r="G24" s="137" t="str">
        <f>IF(COUNTIF(ETM!D:D,$B$16)&gt;=(ROW(R24)/2-6),INDEX(ETM!E:E,MATCH($B$16,ETM!D:D,0)+(ROW(R24)/2-7)),"")</f>
        <v>DUREZA SUPERFICIAL</v>
      </c>
      <c r="H24" s="137"/>
      <c r="I24" s="137"/>
      <c r="J24" s="137"/>
      <c r="K24" s="146" t="str">
        <f>IF(INDEX(ETM!D:J,MATCH($B$16,ETM!D:D,0)+5,3)&lt;&gt;"",
                                    INDEX(ETM!D:J,MATCH($B$16,ETM!D:D,0)+5,3),
                                    IF(INDEX(ETM!D:J,MATCH($B$16,ETM!D:D,0)+5,4)&lt;&gt;"",IF(INDEX(ETM!D:J,MATCH($B$16,ETM!D:D,0)+5,5)&lt;&gt;"",INDEX(ETM!D:J,MATCH($B$16,ETM!D:D,0)+5,4)&amp;" - "&amp;INDEX(ETM!D:J,MATCH($B$16,ETM!D:D,0)+5,5)&amp;" " &amp;INDEX(ETM!D:L,MATCH($B$16,ETM!D:D,0)+5,9),
                                                      IF(INDEX(ETM!D:J,MATCH($B$16,ETM!D:D,0)+5,5)="",INDEX(ETM!D:J,MATCH($B$16,ETM!D:D,0)+5,4)&amp;" MÍN.")),INDEX(ETM!D:J,MATCH($B$16,ETM!D:D,0)+5,5)&amp;" MÁX."))</f>
        <v>75 - 81 HR15N</v>
      </c>
      <c r="L24" s="146" t="str">
        <f>INDEX(ETM!$D:$J,MATCH($B$16,ETM!$D:$D,0)+5,6)</f>
        <v>DURÔMETRO</v>
      </c>
      <c r="M24" s="146">
        <f>INDEX(ETM!$D:$J,MATCH($B$16,ETM!$D:$D,0)+5,7)</f>
        <v>2</v>
      </c>
      <c r="N24" s="146" t="str">
        <f>IF(G24="","","LOTE")</f>
        <v>LOTE</v>
      </c>
      <c r="O24" s="146" t="str">
        <f>IF(G24="","","RELAT. INSP. TRAT. TERM.")</f>
        <v>RELAT. INSP. TRAT. TERM.</v>
      </c>
      <c r="P24" s="259" t="str">
        <f>IF(G24="","","C")</f>
        <v>C</v>
      </c>
      <c r="Q24" s="307" t="str">
        <f>IF(G24="","","IT 9.4.9")</f>
        <v>IT 9.4.9</v>
      </c>
    </row>
    <row r="25" spans="1:17" ht="12.75" customHeight="1">
      <c r="A25" s="136"/>
      <c r="B25" s="137"/>
      <c r="C25" s="137"/>
      <c r="D25" s="137"/>
      <c r="E25" s="137"/>
      <c r="F25" s="150"/>
      <c r="G25" s="137"/>
      <c r="H25" s="137"/>
      <c r="I25" s="137"/>
      <c r="J25" s="137"/>
      <c r="K25" s="147"/>
      <c r="L25" s="147"/>
      <c r="M25" s="147"/>
      <c r="N25" s="147"/>
      <c r="O25" s="147"/>
      <c r="P25" s="260"/>
      <c r="Q25" s="308"/>
    </row>
    <row r="26" spans="1:17" ht="12.75" customHeight="1">
      <c r="A26" s="136"/>
      <c r="B26" s="137"/>
      <c r="C26" s="137"/>
      <c r="D26" s="137"/>
      <c r="E26" s="137"/>
      <c r="F26" s="150" t="str">
        <f>IF(G26&lt;&gt;"",$A$14&amp;"."&amp;(ROW(G26)-12)/2,"")</f>
        <v>.7</v>
      </c>
      <c r="G26" s="137" t="str">
        <f>IF(COUNTIF(ETM!D:D,$B$16)&gt;=(ROW(R26)/2-6),INDEX(ETM!E:E,MATCH($B$16,ETM!D:D,0)+(ROW(R26)/2-7)),"")</f>
        <v>LIMITE DE ESCOAMENTO</v>
      </c>
      <c r="H26" s="137"/>
      <c r="I26" s="137"/>
      <c r="J26" s="137"/>
      <c r="K26" s="146" t="str">
        <f>IF(INDEX(ETM!D:J,MATCH($B$16,ETM!D:D,0)+6,3)&lt;&gt;"",
                                    INDEX(ETM!D:J,MATCH($B$16,ETM!D:D,0)+6,3),
                                    IF(INDEX(ETM!D:J,MATCH($B$16,ETM!D:D,0)+6,4)&lt;&gt;"",IF(INDEX(ETM!D:J,MATCH($B$16,ETM!D:D,0)+6,5)&lt;&gt;"",INDEX(ETM!D:J,MATCH($B$16,ETM!D:D,0)+6,4)&amp;" - "&amp;INDEX(ETM!D:J,MATCH($B$16,ETM!D:D,0)+6,5),
                                                      IF(INDEX(ETM!D:J,MATCH($B$16,ETM!D:D,0)+6,5)="",INDEX(ETM!D:J,MATCH($B$16,ETM!D:D,0)+6,4)&amp;" " &amp;INDEX(ETM!D:L,MATCH($B$16,ETM!D:D,0)+6,9)&amp;" MÍN.")),INDEX(ETM!D:J,MATCH($B$16,ETM!D:D,0)+6,5)&amp;" " &amp;INDEX(ETM!D:L,MATCH($B$16,ETM!D:D,0)+6,9)&amp;" MÁX."))</f>
        <v>940 MPa MÍN.</v>
      </c>
      <c r="L26" s="146" t="str">
        <f>INDEX(ETM!$D:$J,MATCH($B$16,ETM!$D:$D,0)+6,6)</f>
        <v>MÁQUINA DE TRAÇÃO</v>
      </c>
      <c r="M26" s="146">
        <f>INDEX(ETM!$D:$J,MATCH($B$16,ETM!$D:$D,0)+6,7)</f>
        <v>2</v>
      </c>
      <c r="N26" s="146" t="str">
        <f>IF(G26="","","LOTE")</f>
        <v>LOTE</v>
      </c>
      <c r="O26" s="146" t="str">
        <f>IF(G26="","","RELAT. INSP. TRAT. TERM.")</f>
        <v>RELAT. INSP. TRAT. TERM.</v>
      </c>
      <c r="P26" s="259" t="str">
        <f>IF(G26="","","C")</f>
        <v>C</v>
      </c>
      <c r="Q26" s="307" t="str">
        <f>IF(G26="","","IT 9.4.9")</f>
        <v>IT 9.4.9</v>
      </c>
    </row>
    <row r="27" spans="1:17" ht="12.75" customHeight="1">
      <c r="A27" s="136"/>
      <c r="B27" s="137"/>
      <c r="C27" s="137"/>
      <c r="D27" s="137"/>
      <c r="E27" s="137"/>
      <c r="F27" s="150"/>
      <c r="G27" s="137"/>
      <c r="H27" s="137"/>
      <c r="I27" s="137"/>
      <c r="J27" s="137"/>
      <c r="K27" s="147"/>
      <c r="L27" s="147"/>
      <c r="M27" s="147"/>
      <c r="N27" s="147"/>
      <c r="O27" s="147"/>
      <c r="P27" s="260"/>
      <c r="Q27" s="308"/>
    </row>
    <row r="28" spans="1:17" ht="12.75" customHeight="1">
      <c r="A28" s="136"/>
      <c r="B28" s="137"/>
      <c r="C28" s="137"/>
      <c r="D28" s="137"/>
      <c r="E28" s="137"/>
      <c r="F28" s="150" t="str">
        <f>IF(G28&lt;&gt;"",$A$14&amp;"."&amp;(ROW(G28)-12)/2,"")</f>
        <v>.8</v>
      </c>
      <c r="G28" s="137" t="str">
        <f>IF(COUNTIF(ETM!D:D,$B$16)&gt;=(ROW(R28)/2-6),INDEX(ETM!E:E,MATCH($B$16,ETM!D:D,0)+(ROW(R28)/2-7)),"")</f>
        <v>MICROESTRUTURA</v>
      </c>
      <c r="H28" s="137"/>
      <c r="I28" s="137"/>
      <c r="J28" s="137"/>
      <c r="K28" s="146" t="str">
        <f>IF(INDEX(ETM!D:J,MATCH($B$16,ETM!D:D,0)+7,3)&lt;&gt;"",
                                    INDEX(ETM!D:J,MATCH($B$16,ETM!D:D,0)+7,3),
                                    IF(INDEX(ETM!D:J,MATCH($B$16,ETM!D:D,0)+7,4)&lt;&gt;"",IF(INDEX(ETM!D:J,MATCH($B$16,ETM!D:D,0)+7,5)&lt;&gt;"",INDEX(ETM!D:J,MATCH($B$16,ETM!D:D,0)+7,4)&amp;" - "&amp;INDEX(ETM!D:J,MATCH($B$16,ETM!D:D,0)+7,5)&amp;" " &amp;INDEX(ETM!D:L,MATCH($B$16,ETM!D:D,0)+7,9),
                                                      IF(INDEX(ETM!D:J,MATCH($B$16,ETM!D:D,0)+7,5)="",INDEX(ETM!D:J,MATCH($B$16,ETM!D:D,0)+7,4)&amp;" MÍN.")),INDEX(ETM!D:J,MATCH($B$16,ETM!D:D,0)+7,5)&amp;" MÁX."))</f>
        <v>MARTENSITA REVENIDA</v>
      </c>
      <c r="L28" s="146" t="str">
        <f>INDEX(ETM!$D:$J,MATCH($B$16,ETM!$D:$D,0)+7,6)</f>
        <v>MICROSCÓPIO METALOGRÁFICO</v>
      </c>
      <c r="M28" s="146">
        <f>INDEX(ETM!$D:$J,MATCH($B$16,ETM!$D:$D,0)+7,7)</f>
        <v>1</v>
      </c>
      <c r="N28" s="146" t="str">
        <f>IF(G28="","","LOTE")</f>
        <v>LOTE</v>
      </c>
      <c r="O28" s="146" t="str">
        <f>IF(G28="","","RELAT. INSP. TRAT. TERM.")</f>
        <v>RELAT. INSP. TRAT. TERM.</v>
      </c>
      <c r="P28" s="259" t="str">
        <f>IF(G28="","","C")</f>
        <v>C</v>
      </c>
      <c r="Q28" s="307" t="str">
        <f>IF(G28="","","IT 9.4.9")</f>
        <v>IT 9.4.9</v>
      </c>
    </row>
    <row r="29" spans="1:17" ht="24" customHeight="1">
      <c r="A29" s="136"/>
      <c r="B29" s="137"/>
      <c r="C29" s="137"/>
      <c r="D29" s="137"/>
      <c r="E29" s="137"/>
      <c r="F29" s="150"/>
      <c r="G29" s="137"/>
      <c r="H29" s="137"/>
      <c r="I29" s="137"/>
      <c r="J29" s="137"/>
      <c r="K29" s="147"/>
      <c r="L29" s="147"/>
      <c r="M29" s="147"/>
      <c r="N29" s="147"/>
      <c r="O29" s="147"/>
      <c r="P29" s="260"/>
      <c r="Q29" s="308"/>
    </row>
    <row r="30" spans="1:17" ht="12.75" customHeight="1">
      <c r="A30" s="136"/>
      <c r="B30" s="137"/>
      <c r="C30" s="137"/>
      <c r="D30" s="137"/>
      <c r="E30" s="137"/>
      <c r="F30" s="150" t="str">
        <f>IF(G30&lt;&gt;"",$A$14&amp;"."&amp;(ROW(G30)-12)/2,"")</f>
        <v>.9</v>
      </c>
      <c r="G30" s="137" t="str">
        <f>IF(COUNTIF(ETM!D:D,$B$16)&gt;=(ROW(R30)/2-6),INDEX(ETM!E:E,MATCH($B$16,ETM!D:D,0)+(ROW(R30)/2-7)),"")</f>
        <v>PRESENÇA DE TRINCAS</v>
      </c>
      <c r="H30" s="137"/>
      <c r="I30" s="138"/>
      <c r="J30" s="139"/>
      <c r="K30" s="146" t="str">
        <f>IF(COUNTIF(ETM!D:D,$B$16)&gt;=9,IF(INDEX(ETM!D:J,MATCH($B$16,ETM!D:D,0)+8,3)&lt;&gt;"",
                                    INDEX(ETM!D:J,MATCH($B$16,ETM!D:D,0)+8,3),
                                    IF(INDEX(ETM!D:J,MATCH($B$16,ETM!D:D,0)+8,4)&lt;&gt;"",IF(INDEX(ETM!D:J,MATCH($B$16,ETM!D:D,0)+8,5)&lt;&gt;"",INDEX(ETM!D:J,MATCH($B$16,ETM!D:D,0)+8,4)&amp;" - "&amp;INDEX(ETM!D:J,MATCH($B$16,ETM!D:D,0)+8,5)&amp;" " &amp;INDEX(ETM!D:L,MATCH($B$16,ETM!D:D,0)+8,9),
                                                      IF(INDEX(ETM!D:J,MATCH($B$16,ETM!D:D,0)+8,5)="",INDEX(ETM!D:J,MATCH($B$16,ETM!D:D,0)+8,4)&amp;" MÍN.")),INDEX(ETM!D:J,MATCH($B$16,ETM!D:D,0)+8,5)&amp;" MÁX.")),"")</f>
        <v>ISENTO DE TRINCAS</v>
      </c>
      <c r="L30" s="146" t="str">
        <f>IF(G30&lt;&gt;"",INDEX(ETM!$D:$J,MATCH($B$16,ETM!$D:$D,0)+8,6),"")</f>
        <v>MAGNAFLUX</v>
      </c>
      <c r="M30" s="146" t="str">
        <f>IF(G30&lt;&gt;"",INDEX(ETM!$D:$J,MATCH($B$16,ETM!$D:$D,0)+8,7),"")</f>
        <v>TAB. DE AMOSTRAGEM CONF. I.T.10.1.6</v>
      </c>
      <c r="N30" s="146" t="str">
        <f>IF(G30="","","LOTE")</f>
        <v>LOTE</v>
      </c>
      <c r="O30" s="146" t="str">
        <f>IF(G30="","","RELAT. INSP. TRAT. TERM.")</f>
        <v>RELAT. INSP. TRAT. TERM.</v>
      </c>
      <c r="P30" s="259" t="str">
        <f>IF(G30="","","C")</f>
        <v>C</v>
      </c>
      <c r="Q30" s="307" t="str">
        <f>IF(G30="","","IT 9.4.9")</f>
        <v>IT 9.4.9</v>
      </c>
    </row>
    <row r="31" spans="1:17" ht="19.5" customHeight="1">
      <c r="A31" s="136"/>
      <c r="B31" s="137"/>
      <c r="C31" s="137"/>
      <c r="D31" s="137"/>
      <c r="E31" s="137"/>
      <c r="F31" s="150"/>
      <c r="G31" s="137"/>
      <c r="H31" s="137"/>
      <c r="I31" s="140"/>
      <c r="J31" s="141"/>
      <c r="K31" s="147"/>
      <c r="L31" s="147"/>
      <c r="M31" s="147"/>
      <c r="N31" s="147"/>
      <c r="O31" s="147"/>
      <c r="P31" s="260"/>
      <c r="Q31" s="308"/>
    </row>
    <row r="32" spans="1:17" ht="12.75" customHeight="1">
      <c r="A32" s="136"/>
      <c r="B32" s="137"/>
      <c r="C32" s="137"/>
      <c r="D32" s="137"/>
      <c r="E32" s="137"/>
      <c r="F32" s="150" t="str">
        <f>IF(G32&lt;&gt;"",$A$14&amp;"."&amp;(ROW(G32)-12)/2,"")</f>
        <v>.10</v>
      </c>
      <c r="G32" s="137" t="str">
        <f>IF(COUNTIF(ETM!D:D,$B$16)&gt;=(ROW(R32)/2-6),INDEX(ETM!E:E,MATCH($B$16,ETM!D:D,0)+(ROW(R32)/2-7)),"")</f>
        <v>RESISTÊNCIA A TRAÇÃO</v>
      </c>
      <c r="H32" s="137"/>
      <c r="I32" s="138"/>
      <c r="J32" s="139"/>
      <c r="K32" s="146" t="str">
        <f>IF(COUNTIF(ETM!D:D,$B$16)&gt;=10,IF(INDEX(ETM!D:J,MATCH($B$16,ETM!D:D,0)+9,3)&lt;&gt;"",
                                    INDEX(ETM!D:J,MATCH($B$16,ETM!D:D,0)+9,3),
                                    IF(INDEX(ETM!D:J,MATCH($B$16,ETM!D:D,0)+9,4)&lt;&gt;"",IF(INDEX(ETM!D:J,MATCH($B$16,ETM!D:D,0)+9,5)&lt;&gt;"",INDEX(ETM!D:J,MATCH($B$16,ETM!D:D,0)+9,4)&amp;" - "&amp;INDEX(ETM!D:J,MATCH($B$16,ETM!D:D,0)+9,5)&amp;" " &amp;INDEX(ETM!D:L,MATCH($B$16,ETM!D:D,0)+9,9),
                                                      IF(INDEX(ETM!D:J,MATCH($B$16,ETM!D:D,0)+9,5)="",INDEX(ETM!D:J,MATCH($B$16,ETM!D:D,0)+9,4)&amp;" MÍN.")),INDEX(ETM!D:J,MATCH($B$16,ETM!D:D,0)+9,5)&amp;" MÁX.")),"")</f>
        <v>1050 - 1220 MPa</v>
      </c>
      <c r="L32" s="146" t="str">
        <f>IF(G32&lt;&gt;"",INDEX(ETM!$D:$J,MATCH($B$16,ETM!$D:$D,0)+9,6),"")</f>
        <v>MÁQUINA DE TRAÇÃO</v>
      </c>
      <c r="M32" s="146">
        <f>IF(G32&lt;&gt;"",INDEX(ETM!$D:$J,MATCH($B$16,ETM!$D:$D,0)+9,7),"")</f>
        <v>2</v>
      </c>
      <c r="N32" s="146" t="str">
        <f>IF(G32="","","LOTE")</f>
        <v>LOTE</v>
      </c>
      <c r="O32" s="146" t="str">
        <f>IF(G32="","","RELAT. INSP. TRAT. TERM.")</f>
        <v>RELAT. INSP. TRAT. TERM.</v>
      </c>
      <c r="P32" s="259" t="str">
        <f>IF(G32="","","C")</f>
        <v>C</v>
      </c>
      <c r="Q32" s="307" t="str">
        <f>IF(G32="","","IT 9.4.9")</f>
        <v>IT 9.4.9</v>
      </c>
    </row>
    <row r="33" spans="1:17" ht="24" customHeight="1">
      <c r="A33" s="136"/>
      <c r="B33" s="137"/>
      <c r="C33" s="137"/>
      <c r="D33" s="146"/>
      <c r="E33" s="146"/>
      <c r="F33" s="150"/>
      <c r="G33" s="137"/>
      <c r="H33" s="137"/>
      <c r="I33" s="305"/>
      <c r="J33" s="306"/>
      <c r="K33" s="147"/>
      <c r="L33" s="147"/>
      <c r="M33" s="147"/>
      <c r="N33" s="147"/>
      <c r="O33" s="147"/>
      <c r="P33" s="260"/>
      <c r="Q33" s="308"/>
    </row>
    <row r="34" spans="1:17" ht="12.75" customHeight="1">
      <c r="A34" s="136"/>
      <c r="B34" s="309"/>
      <c r="C34" s="309"/>
      <c r="D34" s="137"/>
      <c r="E34" s="137"/>
      <c r="F34" s="150" t="str">
        <f>IF(G34&lt;&gt;"",$A$14&amp;"."&amp;(ROW(G34)-12)/2,"")</f>
        <v>.11</v>
      </c>
      <c r="G34" s="137" t="str">
        <f>IF(COUNTIF(ETM!D:D,$B$16)&gt;=(ROW(R34)/2-6),INDEX(ETM!E:E,MATCH($B$16,ETM!D:D,0)+(ROW(R34)/2-7)),"")</f>
        <v>VARIAÇÃO DE DUREZA (MAGNATEST)</v>
      </c>
      <c r="H34" s="137"/>
      <c r="I34" s="138"/>
      <c r="J34" s="139"/>
      <c r="K34" s="146" t="str">
        <f>IF(COUNTIF(ETM!D:D,$B$16)&gt;=11,IF(INDEX(ETM!D:J,MATCH($B$16,ETM!D:D,0)+10,3)&lt;&gt;"",
                                    INDEX(ETM!D:J,MATCH($B$16,ETM!D:D,0)+10,3),
                                    IF(INDEX(ETM!D:J,MATCH($B$16,ETM!D:D,0)+10,4)&lt;&gt;"",IF(INDEX(ETM!D:J,MATCH($B$16,ETM!D:D,0)+10,5)&lt;&gt;"",INDEX(ETM!D:J,MATCH($B$16,ETM!D:D,0)+10,4)&amp;" - "&amp;INDEX(ETM!D:J,MATCH($B$16,ETM!D:D,0)+10,5)&amp;" " &amp;INDEX(ETM!D:L,MATCH($B$16,ETM!D:D,0)+10,9),
                                                      IF(INDEX(ETM!D:J,MATCH($B$16,ETM!D:D,0)+10,5)="",INDEX(ETM!D:J,MATCH($B$16,ETM!D:D,0)+10,4)&amp;" MÍN.")),INDEX(ETM!D:J,MATCH($B$16,ETM!D:D,0)+10,5)&amp;" MÁX.")),"")</f>
        <v>33 - 38</v>
      </c>
      <c r="L34" s="146" t="str">
        <f>IF(G34&lt;&gt;"",INDEX(ETM!$D:$J,MATCH($B$16,ETM!$D:$D,0)+10,6),"")</f>
        <v>MAGNATEST</v>
      </c>
      <c r="M34" s="146" t="str">
        <f>IF(G34&lt;&gt;"",INDEX(ETM!$D:$J,MATCH($B$16,ETM!$D:$D,0)+10,7),"")</f>
        <v>TAB. DE AMOSTRAGEM CONF. I.T.10.1.6</v>
      </c>
      <c r="N34" s="146" t="str">
        <f>IF(G34="","","LOTE")</f>
        <v>LOTE</v>
      </c>
      <c r="O34" s="146" t="str">
        <f>IF(G34="","","RELAT. INSP. TRAT. TERM.")</f>
        <v>RELAT. INSP. TRAT. TERM.</v>
      </c>
      <c r="P34" s="259" t="str">
        <f>IF(G34="","","C")</f>
        <v>C</v>
      </c>
      <c r="Q34" s="307" t="str">
        <f>IF(G34="","","IT 9.4.9")</f>
        <v>IT 9.4.9</v>
      </c>
    </row>
    <row r="35" spans="1:17" ht="19.5" customHeight="1">
      <c r="A35" s="136"/>
      <c r="B35" s="309"/>
      <c r="C35" s="309"/>
      <c r="D35" s="137"/>
      <c r="E35" s="137"/>
      <c r="F35" s="150"/>
      <c r="G35" s="137"/>
      <c r="H35" s="137"/>
      <c r="I35" s="140"/>
      <c r="J35" s="141"/>
      <c r="K35" s="147"/>
      <c r="L35" s="147"/>
      <c r="M35" s="147"/>
      <c r="N35" s="147"/>
      <c r="O35" s="147"/>
      <c r="P35" s="260"/>
      <c r="Q35" s="308"/>
    </row>
    <row r="36" spans="1:17" ht="12.75" customHeight="1">
      <c r="A36" s="328" t="s">
        <v>63</v>
      </c>
      <c r="B36" s="329"/>
      <c r="C36" s="329"/>
      <c r="D36" s="188"/>
      <c r="E36" s="188"/>
      <c r="F36" s="188"/>
      <c r="G36" s="188"/>
      <c r="H36" s="188"/>
      <c r="I36" s="188"/>
      <c r="J36" s="188"/>
      <c r="K36" s="188"/>
      <c r="L36" s="188"/>
      <c r="M36" s="188"/>
      <c r="N36" s="188"/>
      <c r="O36" s="188"/>
      <c r="P36" s="188"/>
      <c r="Q36" s="330"/>
    </row>
    <row r="37" spans="1:17">
      <c r="A37" s="331"/>
      <c r="B37" s="332"/>
      <c r="C37" s="332"/>
      <c r="D37" s="333"/>
      <c r="E37" s="333"/>
      <c r="F37" s="333"/>
      <c r="G37" s="333"/>
      <c r="H37" s="333"/>
      <c r="I37" s="333"/>
      <c r="J37" s="333"/>
      <c r="K37" s="333"/>
      <c r="L37" s="333"/>
      <c r="M37" s="333"/>
      <c r="N37" s="333"/>
      <c r="O37" s="333"/>
      <c r="P37" s="333"/>
      <c r="Q37" s="334"/>
    </row>
    <row r="38" spans="1:17" ht="14.1" customHeight="1">
      <c r="A38" s="313" t="s">
        <v>64</v>
      </c>
      <c r="B38" s="314"/>
      <c r="C38" s="314"/>
      <c r="D38" s="314"/>
      <c r="E38" s="314"/>
      <c r="F38" s="314"/>
      <c r="G38" s="314"/>
      <c r="H38" s="314"/>
      <c r="I38" s="314"/>
      <c r="J38" s="314"/>
      <c r="K38" s="314"/>
      <c r="L38" s="314"/>
      <c r="M38" s="314"/>
      <c r="N38" s="314"/>
      <c r="O38" s="51"/>
      <c r="P38" s="51"/>
      <c r="Q38" s="52"/>
    </row>
    <row r="39" spans="1:17" ht="14.1" customHeight="1">
      <c r="A39" s="310" t="s">
        <v>65</v>
      </c>
      <c r="B39" s="311"/>
      <c r="C39" s="311"/>
      <c r="D39" s="311"/>
      <c r="E39" s="311"/>
      <c r="F39" s="311"/>
      <c r="G39" s="311"/>
      <c r="H39" s="311"/>
      <c r="I39" s="311"/>
      <c r="J39" s="311"/>
      <c r="K39" s="311"/>
      <c r="L39" s="311"/>
      <c r="M39" s="311"/>
      <c r="N39" s="311"/>
      <c r="O39" s="311"/>
      <c r="P39" s="311"/>
      <c r="Q39" s="315"/>
    </row>
    <row r="40" spans="1:17" ht="14.1" customHeight="1">
      <c r="A40" s="324" t="s">
        <v>49</v>
      </c>
      <c r="B40" s="325"/>
      <c r="C40" s="325"/>
      <c r="D40" s="325"/>
      <c r="E40" s="325"/>
      <c r="F40" s="325"/>
      <c r="G40" s="311"/>
      <c r="H40" s="311"/>
      <c r="I40" s="311"/>
      <c r="J40" s="311"/>
      <c r="K40" s="311"/>
      <c r="L40" s="311"/>
      <c r="M40" s="311"/>
      <c r="N40" s="311"/>
      <c r="O40" s="311"/>
      <c r="P40" s="316"/>
      <c r="Q40" s="317"/>
    </row>
    <row r="41" spans="1:17" ht="14.1" customHeight="1">
      <c r="A41" s="310" t="s">
        <v>76</v>
      </c>
      <c r="B41" s="311"/>
      <c r="C41" s="311"/>
      <c r="D41" s="311"/>
      <c r="E41" s="311"/>
      <c r="F41" s="311"/>
      <c r="G41" s="312"/>
      <c r="H41" s="312"/>
      <c r="I41" s="312"/>
      <c r="J41" s="312"/>
      <c r="K41" s="312"/>
      <c r="L41" s="312"/>
      <c r="M41" s="312"/>
      <c r="N41" s="312"/>
      <c r="O41" s="312"/>
      <c r="P41" s="311"/>
      <c r="Q41" s="315"/>
    </row>
    <row r="42" spans="1:17" ht="14.1" customHeight="1">
      <c r="A42" s="310" t="s">
        <v>50</v>
      </c>
      <c r="B42" s="311"/>
      <c r="C42" s="311"/>
      <c r="D42" s="311"/>
      <c r="E42" s="311"/>
      <c r="F42" s="311"/>
      <c r="G42" s="311"/>
      <c r="H42" s="311"/>
      <c r="I42" s="311"/>
      <c r="J42" s="311"/>
      <c r="K42" s="311"/>
      <c r="L42" s="312"/>
      <c r="M42" s="312"/>
      <c r="N42" s="312"/>
      <c r="O42" s="312"/>
      <c r="P42" s="312"/>
      <c r="Q42" s="335"/>
    </row>
    <row r="43" spans="1:17" ht="14.1" customHeight="1">
      <c r="A43" s="310" t="s">
        <v>51</v>
      </c>
      <c r="B43" s="311"/>
      <c r="C43" s="311"/>
      <c r="D43" s="311"/>
      <c r="E43" s="311"/>
      <c r="F43" s="311"/>
      <c r="G43" s="311"/>
      <c r="H43" s="311"/>
      <c r="I43" s="311"/>
      <c r="J43" s="311"/>
      <c r="K43" s="311"/>
      <c r="L43" s="5"/>
      <c r="M43" s="5"/>
      <c r="N43" s="5"/>
      <c r="O43" s="5"/>
      <c r="P43" s="50"/>
      <c r="Q43" s="6"/>
    </row>
    <row r="44" spans="1:17" ht="14.1" customHeight="1">
      <c r="A44" s="310" t="s">
        <v>74</v>
      </c>
      <c r="B44" s="311"/>
      <c r="C44" s="311"/>
      <c r="D44" s="311"/>
      <c r="E44" s="311"/>
      <c r="F44" s="311"/>
      <c r="G44" s="311"/>
      <c r="H44" s="311"/>
      <c r="I44" s="311"/>
      <c r="J44" s="311"/>
      <c r="K44" s="311"/>
      <c r="L44" s="311"/>
      <c r="M44" s="311"/>
      <c r="N44" s="311"/>
      <c r="O44" s="311"/>
      <c r="P44" s="311"/>
      <c r="Q44" s="315"/>
    </row>
    <row r="45" spans="1:17" ht="14.1" customHeight="1">
      <c r="A45" s="324" t="s">
        <v>67</v>
      </c>
      <c r="B45" s="325"/>
      <c r="C45" s="325"/>
      <c r="D45" s="325"/>
      <c r="E45" s="325"/>
      <c r="F45" s="325"/>
      <c r="G45" s="311"/>
      <c r="H45" s="311"/>
      <c r="I45" s="311"/>
      <c r="J45" s="311"/>
      <c r="K45" s="311"/>
      <c r="L45" s="10"/>
      <c r="M45" s="10"/>
      <c r="N45" s="10"/>
      <c r="O45" s="10"/>
      <c r="P45" s="10"/>
      <c r="Q45" s="12"/>
    </row>
    <row r="46" spans="1:17" ht="14.1" customHeight="1">
      <c r="A46" s="48" t="s">
        <v>68</v>
      </c>
      <c r="B46" s="49"/>
      <c r="C46" s="49"/>
      <c r="D46" s="49"/>
      <c r="E46" s="49"/>
      <c r="F46" s="49"/>
      <c r="G46" s="50"/>
      <c r="H46" s="50"/>
      <c r="I46" s="50"/>
      <c r="J46" s="50"/>
      <c r="K46" s="50"/>
      <c r="L46" s="11"/>
      <c r="M46" s="10"/>
      <c r="N46" s="10"/>
      <c r="O46" s="10"/>
      <c r="P46" s="10"/>
      <c r="Q46" s="12"/>
    </row>
    <row r="47" spans="1:17" ht="14.1" customHeight="1" thickBot="1">
      <c r="A47" s="326" t="s">
        <v>75</v>
      </c>
      <c r="B47" s="327"/>
      <c r="C47" s="327"/>
      <c r="D47" s="327"/>
      <c r="E47" s="327"/>
      <c r="F47" s="316"/>
      <c r="G47" s="316"/>
      <c r="H47" s="316"/>
      <c r="I47" s="316"/>
      <c r="J47" s="316"/>
      <c r="K47" s="327"/>
      <c r="L47" s="22"/>
      <c r="M47" s="23"/>
      <c r="N47" s="23"/>
      <c r="O47" s="23"/>
      <c r="P47" s="23"/>
      <c r="Q47" s="24"/>
    </row>
    <row r="48" spans="1:17" ht="15.75">
      <c r="A48" s="347" t="s">
        <v>69</v>
      </c>
      <c r="B48" s="348"/>
      <c r="C48" s="348"/>
      <c r="D48" s="348"/>
      <c r="E48" s="349"/>
      <c r="F48" s="343" t="s">
        <v>66</v>
      </c>
      <c r="G48" s="344"/>
      <c r="H48" s="344"/>
      <c r="I48" s="344"/>
      <c r="J48" s="344"/>
      <c r="K48" s="353" t="s">
        <v>70</v>
      </c>
      <c r="L48" s="354"/>
      <c r="M48" s="354"/>
      <c r="N48" s="354"/>
      <c r="O48" s="354"/>
      <c r="P48" s="354"/>
      <c r="Q48" s="355"/>
    </row>
    <row r="49" spans="1:17" ht="15.75">
      <c r="A49" s="350" t="s">
        <v>71</v>
      </c>
      <c r="B49" s="351"/>
      <c r="C49" s="351"/>
      <c r="D49" s="351"/>
      <c r="E49" s="352"/>
      <c r="F49" s="345" t="s">
        <v>72</v>
      </c>
      <c r="G49" s="346"/>
      <c r="H49" s="346"/>
      <c r="I49" s="346"/>
      <c r="J49" s="346"/>
      <c r="K49" s="356" t="s">
        <v>73</v>
      </c>
      <c r="L49" s="357"/>
      <c r="M49" s="357"/>
      <c r="N49" s="357"/>
      <c r="O49" s="357"/>
      <c r="P49" s="357"/>
      <c r="Q49" s="358"/>
    </row>
    <row r="50" spans="1:17">
      <c r="A50" s="341"/>
      <c r="B50" s="342"/>
      <c r="C50" s="342"/>
      <c r="D50" s="342"/>
      <c r="E50" s="89"/>
      <c r="F50" s="15"/>
      <c r="G50" s="16"/>
      <c r="H50" s="16"/>
      <c r="I50" s="16"/>
      <c r="J50" s="16"/>
      <c r="K50" s="15"/>
      <c r="L50" s="16"/>
      <c r="M50" s="16"/>
      <c r="N50" s="16"/>
      <c r="O50" s="16"/>
      <c r="P50" s="14"/>
      <c r="Q50" s="17"/>
    </row>
    <row r="51" spans="1:17" ht="13.5" thickBot="1">
      <c r="A51" s="339"/>
      <c r="B51" s="340"/>
      <c r="C51" s="340"/>
      <c r="D51" s="90"/>
      <c r="E51" s="91"/>
      <c r="F51" s="19"/>
      <c r="G51" s="20"/>
      <c r="H51" s="20"/>
      <c r="I51" s="20"/>
      <c r="J51" s="20"/>
      <c r="K51" s="19"/>
      <c r="L51" s="20"/>
      <c r="M51" s="20"/>
      <c r="N51" s="20"/>
      <c r="O51" s="20"/>
      <c r="P51" s="18"/>
      <c r="Q51" s="21"/>
    </row>
    <row r="52" spans="1:17">
      <c r="A52" s="336"/>
      <c r="B52" s="336"/>
      <c r="C52" s="336"/>
      <c r="D52" s="336"/>
      <c r="E52" s="336"/>
      <c r="F52" s="337"/>
      <c r="G52" s="337"/>
      <c r="H52" s="337"/>
      <c r="I52" s="337"/>
      <c r="J52" s="337"/>
      <c r="K52" s="338"/>
      <c r="L52" s="338"/>
      <c r="M52" s="338"/>
      <c r="N52" s="338"/>
      <c r="O52" s="338"/>
      <c r="P52" s="338"/>
      <c r="Q52" s="338"/>
    </row>
    <row r="53" spans="1:17">
      <c r="A53" s="92"/>
      <c r="B53" s="92"/>
      <c r="C53" s="92"/>
      <c r="D53" s="92"/>
      <c r="E53" s="92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</row>
    <row r="54" spans="1:17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</row>
  </sheetData>
  <sheetProtection sheet="1" formatCells="0" formatRows="0" insertRows="0" insertHyperlinks="0" deleteRows="0"/>
  <protectedRanges>
    <protectedRange sqref="B34:C35 A14:E21 G14:J15 I18:Q35 I16:J17 K14:Q17" name="Intervalo1"/>
    <protectedRange sqref="G16:H35" name="Intervalo1_3"/>
  </protectedRanges>
  <dataConsolidate/>
  <mergeCells count="214">
    <mergeCell ref="P16:P17"/>
    <mergeCell ref="Q16:Q17"/>
    <mergeCell ref="A16:A17"/>
    <mergeCell ref="B16:C17"/>
    <mergeCell ref="D16:E17"/>
    <mergeCell ref="F16:F17"/>
    <mergeCell ref="G16:H17"/>
    <mergeCell ref="I16:J17"/>
    <mergeCell ref="K16:K17"/>
    <mergeCell ref="L16:L17"/>
    <mergeCell ref="A52:Q52"/>
    <mergeCell ref="A51:C51"/>
    <mergeCell ref="A50:D50"/>
    <mergeCell ref="F48:J48"/>
    <mergeCell ref="F49:J49"/>
    <mergeCell ref="A48:E48"/>
    <mergeCell ref="A49:E49"/>
    <mergeCell ref="K48:Q48"/>
    <mergeCell ref="K49:Q49"/>
    <mergeCell ref="G45:K45"/>
    <mergeCell ref="A45:F45"/>
    <mergeCell ref="A47:K47"/>
    <mergeCell ref="A36:Q37"/>
    <mergeCell ref="A40:F40"/>
    <mergeCell ref="A44:Q44"/>
    <mergeCell ref="A42:K42"/>
    <mergeCell ref="A43:K43"/>
    <mergeCell ref="L42:Q42"/>
    <mergeCell ref="Q18:Q19"/>
    <mergeCell ref="A20:A21"/>
    <mergeCell ref="F20:F21"/>
    <mergeCell ref="G20:H21"/>
    <mergeCell ref="I20:J21"/>
    <mergeCell ref="M20:M21"/>
    <mergeCell ref="Q20:Q21"/>
    <mergeCell ref="A22:A23"/>
    <mergeCell ref="D22:E23"/>
    <mergeCell ref="F22:F23"/>
    <mergeCell ref="G22:H23"/>
    <mergeCell ref="I22:J23"/>
    <mergeCell ref="K22:K23"/>
    <mergeCell ref="L22:L23"/>
    <mergeCell ref="M22:M23"/>
    <mergeCell ref="B20:C21"/>
    <mergeCell ref="B22:C23"/>
    <mergeCell ref="D10:E10"/>
    <mergeCell ref="K11:L11"/>
    <mergeCell ref="M11:O11"/>
    <mergeCell ref="H11:J11"/>
    <mergeCell ref="B14:C15"/>
    <mergeCell ref="D14:E15"/>
    <mergeCell ref="F14:F15"/>
    <mergeCell ref="G14:H15"/>
    <mergeCell ref="A10:B10"/>
    <mergeCell ref="K12:O12"/>
    <mergeCell ref="O14:O15"/>
    <mergeCell ref="D12:E13"/>
    <mergeCell ref="F12:J12"/>
    <mergeCell ref="A11:B11"/>
    <mergeCell ref="D11:E11"/>
    <mergeCell ref="F11:G11"/>
    <mergeCell ref="B12:C13"/>
    <mergeCell ref="P12:P13"/>
    <mergeCell ref="Q12:Q13"/>
    <mergeCell ref="G13:H13"/>
    <mergeCell ref="I13:J13"/>
    <mergeCell ref="N14:N15"/>
    <mergeCell ref="I14:J15"/>
    <mergeCell ref="A1:Q2"/>
    <mergeCell ref="A3:B3"/>
    <mergeCell ref="D3:F3"/>
    <mergeCell ref="G3:H3"/>
    <mergeCell ref="A4:B4"/>
    <mergeCell ref="D4:F4"/>
    <mergeCell ref="C5:H5"/>
    <mergeCell ref="A6:B6"/>
    <mergeCell ref="M6:P6"/>
    <mergeCell ref="K10:L10"/>
    <mergeCell ref="M10:O10"/>
    <mergeCell ref="A7:P7"/>
    <mergeCell ref="A8:P8"/>
    <mergeCell ref="A9:G9"/>
    <mergeCell ref="H9:Q9"/>
    <mergeCell ref="F10:G10"/>
    <mergeCell ref="Q14:Q15"/>
    <mergeCell ref="P14:P15"/>
    <mergeCell ref="C6:H6"/>
    <mergeCell ref="G4:H4"/>
    <mergeCell ref="I5:L5"/>
    <mergeCell ref="M5:P5"/>
    <mergeCell ref="M14:M15"/>
    <mergeCell ref="N26:N27"/>
    <mergeCell ref="N22:N23"/>
    <mergeCell ref="O22:O23"/>
    <mergeCell ref="I18:J19"/>
    <mergeCell ref="K18:K19"/>
    <mergeCell ref="L18:L19"/>
    <mergeCell ref="M18:M19"/>
    <mergeCell ref="O20:O21"/>
    <mergeCell ref="N20:N21"/>
    <mergeCell ref="N16:N17"/>
    <mergeCell ref="O16:O17"/>
    <mergeCell ref="M16:M17"/>
    <mergeCell ref="P20:P21"/>
    <mergeCell ref="P18:P19"/>
    <mergeCell ref="O18:O19"/>
    <mergeCell ref="N18:N19"/>
    <mergeCell ref="K20:K21"/>
    <mergeCell ref="P22:P23"/>
    <mergeCell ref="D20:E21"/>
    <mergeCell ref="P26:P27"/>
    <mergeCell ref="Q26:Q27"/>
    <mergeCell ref="A28:A29"/>
    <mergeCell ref="D28:E29"/>
    <mergeCell ref="F28:F29"/>
    <mergeCell ref="G28:H29"/>
    <mergeCell ref="I26:J27"/>
    <mergeCell ref="Q22:Q23"/>
    <mergeCell ref="A24:A25"/>
    <mergeCell ref="D24:E25"/>
    <mergeCell ref="F24:F25"/>
    <mergeCell ref="G24:H25"/>
    <mergeCell ref="I24:J25"/>
    <mergeCell ref="K24:K25"/>
    <mergeCell ref="L24:L25"/>
    <mergeCell ref="M24:M25"/>
    <mergeCell ref="P24:P25"/>
    <mergeCell ref="Q24:Q25"/>
    <mergeCell ref="O26:O27"/>
    <mergeCell ref="N24:N25"/>
    <mergeCell ref="O24:O25"/>
    <mergeCell ref="M26:M27"/>
    <mergeCell ref="B24:C25"/>
    <mergeCell ref="B26:C27"/>
    <mergeCell ref="A5:B5"/>
    <mergeCell ref="A30:A31"/>
    <mergeCell ref="B30:C31"/>
    <mergeCell ref="D30:E31"/>
    <mergeCell ref="F30:F31"/>
    <mergeCell ref="K26:K27"/>
    <mergeCell ref="L26:L27"/>
    <mergeCell ref="A26:A27"/>
    <mergeCell ref="D26:E27"/>
    <mergeCell ref="F26:F27"/>
    <mergeCell ref="G26:H27"/>
    <mergeCell ref="L20:L21"/>
    <mergeCell ref="A18:A19"/>
    <mergeCell ref="B18:C19"/>
    <mergeCell ref="D18:E19"/>
    <mergeCell ref="F18:F19"/>
    <mergeCell ref="G18:H19"/>
    <mergeCell ref="A14:A15"/>
    <mergeCell ref="K14:K15"/>
    <mergeCell ref="L14:L15"/>
    <mergeCell ref="I6:L6"/>
    <mergeCell ref="H10:J10"/>
    <mergeCell ref="A12:A13"/>
    <mergeCell ref="G30:H31"/>
    <mergeCell ref="I3:I4"/>
    <mergeCell ref="J3:K4"/>
    <mergeCell ref="L3:L4"/>
    <mergeCell ref="M3:N4"/>
    <mergeCell ref="O3:O4"/>
    <mergeCell ref="P3:P4"/>
    <mergeCell ref="A41:K41"/>
    <mergeCell ref="Q32:Q33"/>
    <mergeCell ref="K32:K33"/>
    <mergeCell ref="K30:K31"/>
    <mergeCell ref="L30:L31"/>
    <mergeCell ref="M28:M29"/>
    <mergeCell ref="A38:N38"/>
    <mergeCell ref="A39:Q39"/>
    <mergeCell ref="N32:N33"/>
    <mergeCell ref="A32:A33"/>
    <mergeCell ref="F32:F33"/>
    <mergeCell ref="O32:O33"/>
    <mergeCell ref="P32:P33"/>
    <mergeCell ref="L40:O40"/>
    <mergeCell ref="P40:Q40"/>
    <mergeCell ref="L41:Q41"/>
    <mergeCell ref="G32:H33"/>
    <mergeCell ref="G40:K40"/>
    <mergeCell ref="N34:N35"/>
    <mergeCell ref="O34:O35"/>
    <mergeCell ref="P34:P35"/>
    <mergeCell ref="Q34:Q35"/>
    <mergeCell ref="A34:A35"/>
    <mergeCell ref="B34:C35"/>
    <mergeCell ref="D34:E35"/>
    <mergeCell ref="F34:F35"/>
    <mergeCell ref="G34:H35"/>
    <mergeCell ref="I34:J35"/>
    <mergeCell ref="K34:K35"/>
    <mergeCell ref="L34:L35"/>
    <mergeCell ref="M34:M35"/>
    <mergeCell ref="I32:J33"/>
    <mergeCell ref="M32:M33"/>
    <mergeCell ref="B32:C33"/>
    <mergeCell ref="D32:E33"/>
    <mergeCell ref="L32:L33"/>
    <mergeCell ref="Q30:Q31"/>
    <mergeCell ref="O30:O31"/>
    <mergeCell ref="P30:P31"/>
    <mergeCell ref="O28:O29"/>
    <mergeCell ref="P28:P29"/>
    <mergeCell ref="B28:C29"/>
    <mergeCell ref="Q28:Q29"/>
    <mergeCell ref="N30:N31"/>
    <mergeCell ref="I30:J31"/>
    <mergeCell ref="M30:M31"/>
    <mergeCell ref="I28:J29"/>
    <mergeCell ref="K28:K29"/>
    <mergeCell ref="L28:L29"/>
    <mergeCell ref="N28:N29"/>
  </mergeCells>
  <phoneticPr fontId="0" type="noConversion"/>
  <conditionalFormatting sqref="D4:F4">
    <cfRule type="cellIs" dxfId="31" priority="7" stopIfTrue="1" operator="equal">
      <formula>0</formula>
    </cfRule>
  </conditionalFormatting>
  <conditionalFormatting sqref="A14:A15">
    <cfRule type="expression" dxfId="30" priority="1">
      <formula>$A$14=""</formula>
    </cfRule>
    <cfRule type="cellIs" dxfId="29" priority="2" operator="equal">
      <formula>""""""</formula>
    </cfRule>
    <cfRule type="cellIs" dxfId="28" priority="3" operator="equal">
      <formula>""""""</formula>
    </cfRule>
  </conditionalFormatting>
  <pageMargins left="0.39370078740157483" right="0.19685039370078741" top="0.23622047244094488" bottom="0.15748031496062992" header="0.43307086614173229" footer="0.15748031496062992"/>
  <pageSetup paperSize="9" scale="64" fitToHeight="0" orientation="landscape" r:id="rId1"/>
  <headerFooter alignWithMargins="0">
    <oddFooter>&amp;LForm152- Rev 05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DADOS!$A$2:$A$4</xm:f>
          </x14:formula1>
          <xm:sqref>P14:P35</xm:sqref>
        </x14:dataValidation>
        <x14:dataValidation type="list" allowBlank="1" showInputMessage="1" showErrorMessage="1">
          <x14:formula1>
            <xm:f>OFFSET(DADOS!$B$1,1,,COUNTA(DADOS!$B:$B)-1)</xm:f>
          </x14:formula1>
          <xm:sqref>B14:C15</xm:sqref>
        </x14:dataValidation>
        <x14:dataValidation type="list" errorStyle="warning" allowBlank="1" showInputMessage="1" showErrorMessage="1" errorTitle="ETM INVÁLIDA" error="O número ou posição da ETM foi digitado errado, ou não está cadastrada.">
          <x14:formula1>
            <xm:f>OFFSET(DADOS!$D$1,1,,COUNTA(DADOS!$D:$D)-1)</xm:f>
          </x14:formula1>
          <xm:sqref>B16:C17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9">
    <tabColor theme="3" tint="0.79998168889431442"/>
    <pageSetUpPr fitToPage="1"/>
  </sheetPr>
  <dimension ref="A1:Q55"/>
  <sheetViews>
    <sheetView showGridLines="0" view="pageBreakPreview" zoomScale="85" zoomScaleNormal="85" zoomScaleSheetLayoutView="85" workbookViewId="0">
      <selection activeCell="K16" sqref="K16:K17"/>
    </sheetView>
  </sheetViews>
  <sheetFormatPr defaultRowHeight="12.75"/>
  <cols>
    <col min="1" max="1" width="14.85546875" customWidth="1"/>
    <col min="2" max="2" width="8.85546875" customWidth="1"/>
    <col min="3" max="3" width="19.140625" customWidth="1"/>
    <col min="4" max="4" width="10.5703125" customWidth="1"/>
    <col min="5" max="5" width="8.7109375" customWidth="1"/>
    <col min="6" max="6" width="8" customWidth="1"/>
    <col min="7" max="7" width="9.85546875" customWidth="1"/>
    <col min="8" max="8" width="12.42578125" customWidth="1"/>
    <col min="9" max="9" width="7.42578125" customWidth="1"/>
    <col min="10" max="10" width="9.42578125" customWidth="1"/>
    <col min="11" max="11" width="22.5703125" customWidth="1"/>
    <col min="12" max="12" width="18.140625" customWidth="1"/>
    <col min="13" max="13" width="12.7109375" customWidth="1"/>
    <col min="14" max="14" width="16.85546875" customWidth="1"/>
    <col min="15" max="15" width="12.5703125" customWidth="1"/>
    <col min="16" max="16" width="15.140625" customWidth="1"/>
    <col min="17" max="17" width="15.28515625" customWidth="1"/>
  </cols>
  <sheetData>
    <row r="1" spans="1:17" ht="12.75" customHeight="1">
      <c r="A1" s="212" t="s">
        <v>0</v>
      </c>
      <c r="B1" s="213"/>
      <c r="C1" s="213"/>
      <c r="D1" s="213"/>
      <c r="E1" s="213"/>
      <c r="F1" s="213"/>
      <c r="G1" s="213"/>
      <c r="H1" s="213"/>
      <c r="I1" s="213"/>
      <c r="J1" s="213"/>
      <c r="K1" s="213"/>
      <c r="L1" s="213"/>
      <c r="M1" s="213"/>
      <c r="N1" s="213"/>
      <c r="O1" s="213"/>
      <c r="P1" s="213"/>
      <c r="Q1" s="214"/>
    </row>
    <row r="2" spans="1:17" ht="13.5" customHeight="1" thickBot="1">
      <c r="A2" s="215"/>
      <c r="B2" s="216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7"/>
    </row>
    <row r="3" spans="1:17" ht="12.75" customHeight="1">
      <c r="A3" s="218" t="s">
        <v>1</v>
      </c>
      <c r="B3" s="219"/>
      <c r="C3" s="3" t="s">
        <v>34</v>
      </c>
      <c r="D3" s="220" t="s">
        <v>2</v>
      </c>
      <c r="E3" s="220"/>
      <c r="F3" s="220"/>
      <c r="G3" s="221" t="s">
        <v>33</v>
      </c>
      <c r="H3" s="222"/>
      <c r="I3" s="262" t="str">
        <f>IF('MATERIA PRIMA'!I3:I4="","",'MATERIA PRIMA'!I3:I4)</f>
        <v/>
      </c>
      <c r="J3" s="244" t="s">
        <v>708</v>
      </c>
      <c r="K3" s="244"/>
      <c r="L3" s="271" t="str">
        <f>IF('MATERIA PRIMA'!L3:L4="","",'MATERIA PRIMA'!L3:L4)</f>
        <v/>
      </c>
      <c r="M3" s="248" t="s">
        <v>710</v>
      </c>
      <c r="N3" s="248"/>
      <c r="O3" s="271" t="str">
        <f>IF('MATERIA PRIMA'!O3:O4="","",'MATERIA PRIMA'!O3:O4)</f>
        <v>X</v>
      </c>
      <c r="P3" s="250" t="s">
        <v>22</v>
      </c>
      <c r="Q3" s="26" t="s">
        <v>4</v>
      </c>
    </row>
    <row r="4" spans="1:17" ht="12.75" customHeight="1">
      <c r="A4" s="277" t="str">
        <f>IF('MATERIA PRIMA'!A4:B4="","",'MATERIA PRIMA'!A4:B4)</f>
        <v/>
      </c>
      <c r="B4" s="278"/>
      <c r="C4" s="27" t="str">
        <f>IF('MATERIA PRIMA'!C4="","",'MATERIA PRIMA'!C4)</f>
        <v/>
      </c>
      <c r="D4" s="279" t="str">
        <f>IF('MATERIA PRIMA'!D4:F4="","",'MATERIA PRIMA'!D4:F4)</f>
        <v/>
      </c>
      <c r="E4" s="280"/>
      <c r="F4" s="280"/>
      <c r="G4" s="239" t="str">
        <f>IF('MATERIA PRIMA'!G4:H4="","",'MATERIA PRIMA'!G4:H4)</f>
        <v/>
      </c>
      <c r="H4" s="241"/>
      <c r="I4" s="263"/>
      <c r="J4" s="245"/>
      <c r="K4" s="245"/>
      <c r="L4" s="272"/>
      <c r="M4" s="249"/>
      <c r="N4" s="249"/>
      <c r="O4" s="272"/>
      <c r="P4" s="251"/>
      <c r="Q4" s="56">
        <f ca="1">_xlfn.SHEET()</f>
        <v>4</v>
      </c>
    </row>
    <row r="5" spans="1:17" ht="16.5" customHeight="1">
      <c r="A5" s="228" t="s">
        <v>21</v>
      </c>
      <c r="B5" s="229"/>
      <c r="C5" s="227" t="s">
        <v>3</v>
      </c>
      <c r="D5" s="191"/>
      <c r="E5" s="191"/>
      <c r="F5" s="191"/>
      <c r="G5" s="191"/>
      <c r="H5" s="192"/>
      <c r="I5" s="227" t="s">
        <v>5</v>
      </c>
      <c r="J5" s="191"/>
      <c r="K5" s="191"/>
      <c r="L5" s="192"/>
      <c r="M5" s="227" t="s">
        <v>29</v>
      </c>
      <c r="N5" s="191"/>
      <c r="O5" s="191"/>
      <c r="P5" s="192"/>
      <c r="Q5" s="28" t="s">
        <v>7</v>
      </c>
    </row>
    <row r="6" spans="1:17" ht="13.5" customHeight="1">
      <c r="A6" s="273" t="str">
        <f>IF('MATERIA PRIMA'!A6:B6="","",'MATERIA PRIMA'!A6:B6)</f>
        <v/>
      </c>
      <c r="B6" s="274"/>
      <c r="C6" s="275" t="str">
        <f>IF('MATERIA PRIMA'!C6:H6="","",'MATERIA PRIMA'!C6:H6)</f>
        <v/>
      </c>
      <c r="D6" s="276"/>
      <c r="E6" s="276"/>
      <c r="F6" s="276"/>
      <c r="G6" s="276"/>
      <c r="H6" s="274"/>
      <c r="I6" s="239" t="s">
        <v>6</v>
      </c>
      <c r="J6" s="240"/>
      <c r="K6" s="240"/>
      <c r="L6" s="241"/>
      <c r="M6" s="275" t="str">
        <f>IF('MATERIA PRIMA'!M6:P6="","",'MATERIA PRIMA'!M6:P6)</f>
        <v/>
      </c>
      <c r="N6" s="276"/>
      <c r="O6" s="276"/>
      <c r="P6" s="274"/>
      <c r="Q6" s="38" t="str">
        <f>IF('INSP. FINAL'!Q6="","",'INSP. FINAL'!Q6)</f>
        <v/>
      </c>
    </row>
    <row r="7" spans="1:17">
      <c r="A7" s="190" t="s">
        <v>28</v>
      </c>
      <c r="B7" s="191"/>
      <c r="C7" s="191"/>
      <c r="D7" s="191"/>
      <c r="E7" s="191"/>
      <c r="F7" s="191"/>
      <c r="G7" s="191"/>
      <c r="H7" s="191"/>
      <c r="I7" s="191"/>
      <c r="J7" s="191"/>
      <c r="K7" s="191"/>
      <c r="L7" s="191"/>
      <c r="M7" s="191"/>
      <c r="N7" s="191"/>
      <c r="O7" s="191"/>
      <c r="P7" s="192"/>
      <c r="Q7" s="28" t="s">
        <v>8</v>
      </c>
    </row>
    <row r="8" spans="1:17" ht="17.25" customHeight="1">
      <c r="A8" s="266" t="str">
        <f>IF('MATERIA PRIMA'!A8:P8="","",'MATERIA PRIMA'!A8:P8)</f>
        <v/>
      </c>
      <c r="B8" s="267"/>
      <c r="C8" s="267"/>
      <c r="D8" s="267"/>
      <c r="E8" s="267"/>
      <c r="F8" s="267"/>
      <c r="G8" s="267"/>
      <c r="H8" s="267"/>
      <c r="I8" s="267"/>
      <c r="J8" s="267"/>
      <c r="K8" s="267"/>
      <c r="L8" s="267"/>
      <c r="M8" s="267"/>
      <c r="N8" s="267"/>
      <c r="O8" s="267"/>
      <c r="P8" s="268"/>
      <c r="Q8" s="38" t="str">
        <f>IF('INSP. FINAL'!Q8="","",'INSP. FINAL'!Q8)</f>
        <v/>
      </c>
    </row>
    <row r="9" spans="1:17" ht="14.25" customHeight="1">
      <c r="A9" s="208" t="s">
        <v>9</v>
      </c>
      <c r="B9" s="223"/>
      <c r="C9" s="223"/>
      <c r="D9" s="223"/>
      <c r="E9" s="223"/>
      <c r="F9" s="223"/>
      <c r="G9" s="186"/>
      <c r="H9" s="224" t="s">
        <v>26</v>
      </c>
      <c r="I9" s="225"/>
      <c r="J9" s="225"/>
      <c r="K9" s="225"/>
      <c r="L9" s="225"/>
      <c r="M9" s="225"/>
      <c r="N9" s="225"/>
      <c r="O9" s="225"/>
      <c r="P9" s="225"/>
      <c r="Q9" s="226"/>
    </row>
    <row r="10" spans="1:17">
      <c r="A10" s="208" t="s">
        <v>10</v>
      </c>
      <c r="B10" s="186"/>
      <c r="C10" s="36" t="s">
        <v>11</v>
      </c>
      <c r="D10" s="185" t="s">
        <v>12</v>
      </c>
      <c r="E10" s="186"/>
      <c r="F10" s="185" t="s">
        <v>11</v>
      </c>
      <c r="G10" s="186"/>
      <c r="H10" s="196"/>
      <c r="I10" s="197"/>
      <c r="J10" s="198"/>
      <c r="K10" s="185" t="s">
        <v>11</v>
      </c>
      <c r="L10" s="186"/>
      <c r="M10" s="187"/>
      <c r="N10" s="188"/>
      <c r="O10" s="189"/>
      <c r="P10" s="46"/>
      <c r="Q10" s="2" t="s">
        <v>11</v>
      </c>
    </row>
    <row r="11" spans="1:17" ht="13.5" thickBot="1">
      <c r="A11" s="202"/>
      <c r="B11" s="203"/>
      <c r="C11" s="60"/>
      <c r="D11" s="204"/>
      <c r="E11" s="203"/>
      <c r="F11" s="204"/>
      <c r="G11" s="203"/>
      <c r="H11" s="209"/>
      <c r="I11" s="210"/>
      <c r="J11" s="211"/>
      <c r="K11" s="204"/>
      <c r="L11" s="203"/>
      <c r="M11" s="205"/>
      <c r="N11" s="206"/>
      <c r="O11" s="207"/>
      <c r="P11" s="61"/>
      <c r="Q11" s="62"/>
    </row>
    <row r="12" spans="1:17">
      <c r="A12" s="252" t="s">
        <v>31</v>
      </c>
      <c r="B12" s="254" t="s">
        <v>15</v>
      </c>
      <c r="C12" s="255"/>
      <c r="D12" s="254" t="s">
        <v>16</v>
      </c>
      <c r="E12" s="255"/>
      <c r="F12" s="258" t="s">
        <v>20</v>
      </c>
      <c r="G12" s="258"/>
      <c r="H12" s="258"/>
      <c r="I12" s="258"/>
      <c r="J12" s="258"/>
      <c r="K12" s="199" t="s">
        <v>23</v>
      </c>
      <c r="L12" s="199"/>
      <c r="M12" s="199"/>
      <c r="N12" s="199"/>
      <c r="O12" s="199"/>
      <c r="P12" s="200" t="s">
        <v>711</v>
      </c>
      <c r="Q12" s="172" t="s">
        <v>13</v>
      </c>
    </row>
    <row r="13" spans="1:17" ht="23.25" customHeight="1">
      <c r="A13" s="253"/>
      <c r="B13" s="256"/>
      <c r="C13" s="257"/>
      <c r="D13" s="256"/>
      <c r="E13" s="257"/>
      <c r="F13" s="80" t="s">
        <v>17</v>
      </c>
      <c r="G13" s="174" t="s">
        <v>18</v>
      </c>
      <c r="H13" s="174"/>
      <c r="I13" s="174" t="s">
        <v>19</v>
      </c>
      <c r="J13" s="174"/>
      <c r="K13" s="1" t="s">
        <v>25</v>
      </c>
      <c r="L13" s="1" t="s">
        <v>30</v>
      </c>
      <c r="M13" s="1" t="s">
        <v>24</v>
      </c>
      <c r="N13" s="1" t="s">
        <v>27</v>
      </c>
      <c r="O13" s="1" t="s">
        <v>14</v>
      </c>
      <c r="P13" s="201"/>
      <c r="Q13" s="173"/>
    </row>
    <row r="14" spans="1:17" ht="12.6" customHeight="1">
      <c r="A14" s="164"/>
      <c r="B14" s="137" t="s">
        <v>104</v>
      </c>
      <c r="C14" s="137"/>
      <c r="D14" s="138" t="s">
        <v>747</v>
      </c>
      <c r="E14" s="139"/>
      <c r="F14" s="150" t="str">
        <f>IF(G14&lt;&gt;"",$A$14&amp;"."&amp;(ROW(G14)-12)/2,"")</f>
        <v>.1</v>
      </c>
      <c r="G14" s="137" t="str">
        <f>INDEX(ETM!E:E,
                  MATCH($B$16,
                                      ETM!D:D,
                                      0
                                     )
                 )</f>
        <v>ASPECTO VISUAL</v>
      </c>
      <c r="H14" s="137"/>
      <c r="I14" s="359"/>
      <c r="J14" s="360"/>
      <c r="K14" s="146" t="str">
        <f>IF(INDEX(ETM!D:J,MATCH($B$16,ETM!D:D,0),3)&lt;&gt;"",
                                    INDEX(ETM!D:J,MATCH($B$16,ETM!D:D,0),3),
                                    IF(INDEX(ETM!D:J,MATCH($B$16,ETM!D:D,0),4)&lt;&gt;"",IF(INDEX(ETM!D:J,MATCH($B$16,ETM!D:D,0),5)&lt;&gt;"",INDEX(ETM!D:J,MATCH($B$16,ETM!D:D,0),4)&amp;" - "&amp;INDEX(ETM!D:J,MATCH($B$16,ETM!D:D,0),5),
                                                      IF(INDEX(ETM!D:J,MATCH($B$16,ETM!D:D,0),5)="",INDEX(ETM!D:J,MATCH($B$16,ETM!D:D,0),4)&amp;" MÍN.")),INDEX(ETM!D:J,MATCH($B$16,ETM!D:D,0),5)&amp;" MÁX."))</f>
        <v>ISENTO DE FALHAS, MANCHAS E OXIDAÇÕES</v>
      </c>
      <c r="L14" s="146" t="str">
        <f>IF(COUNTIF(ETM!D:D,$B$16)&gt;=ROW(L16)/2-7,INDEX(ETM!$D:$J,MATCH($B$16,ETM!$D:$D,0)+ROW(L16)/2-8,6),"")</f>
        <v>VISUAL</v>
      </c>
      <c r="M14" s="146">
        <f>INDEX(ETM!$D:$J,MATCH($B$16,ETM!$D:$D,0),7)</f>
        <v>2</v>
      </c>
      <c r="N14" s="146" t="str">
        <f>IF(G14="","","LOTE")</f>
        <v>LOTE</v>
      </c>
      <c r="O14" s="146" t="str">
        <f>IF(G14&lt;&gt;"",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AUTOMÁTICO"),"R.I.P.",
                               IF(OR(LEFT($B$14,11)="RECEBIMENTO",$B$14="TRATAMENTO SUPERFICIAL"),"R.I.R.",
                               IF(OR($B$14="DESEMPENAR",$B$14="JATEAR",$B$14="MAGNAFLUX",$B$14="QUEIMA DE ÓLEO",$B$14="LIMPEZA MECÂNICA",$B$14="DESEMPENAR 100%"),"R.I.","R.I.F."))),"")</f>
        <v>R.I.R.</v>
      </c>
      <c r="P14" s="259"/>
      <c r="Q14" s="152" t="str">
        <f>IF(F14&lt;&gt;"","IT 9.4.9.","")</f>
        <v>IT 9.4.9.</v>
      </c>
    </row>
    <row r="15" spans="1:17" ht="12.6" customHeight="1">
      <c r="A15" s="164"/>
      <c r="B15" s="137"/>
      <c r="C15" s="137"/>
      <c r="D15" s="140"/>
      <c r="E15" s="141"/>
      <c r="F15" s="150"/>
      <c r="G15" s="137"/>
      <c r="H15" s="137"/>
      <c r="I15" s="361"/>
      <c r="J15" s="362"/>
      <c r="K15" s="147"/>
      <c r="L15" s="147"/>
      <c r="M15" s="147"/>
      <c r="N15" s="147"/>
      <c r="O15" s="147"/>
      <c r="P15" s="260"/>
      <c r="Q15" s="153"/>
    </row>
    <row r="16" spans="1:17" ht="12.6" customHeight="1">
      <c r="A16" s="164"/>
      <c r="B16" s="165" t="s">
        <v>299</v>
      </c>
      <c r="C16" s="165"/>
      <c r="D16" s="165"/>
      <c r="E16" s="165"/>
      <c r="F16" s="150" t="str">
        <f>IF(G16&lt;&gt;"",$A$14&amp;"."&amp;(ROW(G16)-12)/2,"")</f>
        <v>.2</v>
      </c>
      <c r="G16" s="137" t="str">
        <f>IF(COUNTIF(ETM!D:D,$B$16)&gt;=(ROW(R16)/2-6),INDEX(ETM!E:E,MATCH($B$16,ETM!D:D,0)+(ROW(R16)/2-7)),"")</f>
        <v>ENSAIO DE DTT</v>
      </c>
      <c r="H16" s="137"/>
      <c r="I16" s="359"/>
      <c r="J16" s="360"/>
      <c r="K16" s="146" t="str">
        <f>IF(INDEX(ETM!D:J,MATCH($B$16,ETM!D:D,0)+1,3)&lt;&gt;"",
                                    INDEX(ETM!D:J,MATCH($B$16,ETM!D:D,0)+1,3),
                                    IF(INDEX(ETM!D:J,MATCH($B$16,ETM!D:D,0)+1,4)&lt;&gt;"",IF(INDEX(ETM!D:J,MATCH($B$16,ETM!D:D,0)+1,5)&lt;&gt;"",INDEX(ETM!D:J,MATCH($B$16,ETM!D:D,0)+1,4)&amp;" - "&amp;INDEX(ETM!D:J,MATCH($B$16,ETM!D:D,0)+1,5),
                                                      IF(INDEX(ETM!D:J,MATCH($B$16,ETM!D:D,0)+1,5)="",INDEX(ETM!D:J,MATCH($B$16,ETM!D:D,0)+1,4)&amp;" MÍN.")),INDEX(ETM!D:J,MATCH($B$16,ETM!D:D,0)+1,5)&amp;" MÁX."))</f>
        <v>0,08 - 0,14</v>
      </c>
      <c r="L16" s="146" t="str">
        <f>IF(COUNTIF(ETM!D:D,$B$16)&gt;=ROW(L18)/2-7,INDEX(ETM!$D:$J,MATCH($B$16,ETM!$D:$D,0)+ROW(L18)/2-8,6),"")</f>
        <v>MÁQUINA DE DTT</v>
      </c>
      <c r="M16" s="146">
        <f>INDEX(ETM!$D:$J,MATCH($B$16,ETM!$D:$D,0)+1,7)</f>
        <v>5</v>
      </c>
      <c r="N16" s="146" t="str">
        <f>IF(G16="","","LOTE")</f>
        <v>LOTE</v>
      </c>
      <c r="O16" s="146" t="str">
        <f>IF(G16&lt;&gt;"",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AUTOMÁTICO"),"R.I.P.",
                               IF(OR(LEFT($B$14,11)="RECEBIMENTO",$B$14="TRATAMENTO SUPERFICIAL"),"R.I.R.",
                               IF(OR($B$14="DESEMPENAR",$B$14="JATEAR",$B$14="MAGNAFLUX",$B$14="QUEIMA DE ÓLEO",$B$14="LIMPEZA MECÂNICA",$B$14="DESEMPENAR 100%"),"R.I.","R.I.F."))),"")</f>
        <v>R.I.R.</v>
      </c>
      <c r="P16" s="259"/>
      <c r="Q16" s="152" t="str">
        <f>IF(F16&lt;&gt;"","IT 9.4.9.","")</f>
        <v>IT 9.4.9.</v>
      </c>
    </row>
    <row r="17" spans="1:17" ht="12.6" customHeight="1">
      <c r="A17" s="164"/>
      <c r="B17" s="165"/>
      <c r="C17" s="165"/>
      <c r="D17" s="165"/>
      <c r="E17" s="165"/>
      <c r="F17" s="150"/>
      <c r="G17" s="137"/>
      <c r="H17" s="137"/>
      <c r="I17" s="361"/>
      <c r="J17" s="362"/>
      <c r="K17" s="147"/>
      <c r="L17" s="147"/>
      <c r="M17" s="147"/>
      <c r="N17" s="147"/>
      <c r="O17" s="147"/>
      <c r="P17" s="260"/>
      <c r="Q17" s="153"/>
    </row>
    <row r="18" spans="1:17" ht="12.6" customHeight="1">
      <c r="A18" s="164"/>
      <c r="B18" s="165"/>
      <c r="C18" s="165"/>
      <c r="D18" s="165"/>
      <c r="E18" s="165"/>
      <c r="F18" s="150" t="str">
        <f>IF(G18&lt;&gt;"",$A$14&amp;"."&amp;(ROW(G18)-12)/2,"")</f>
        <v>.3</v>
      </c>
      <c r="G18" s="137" t="str">
        <f>IF(COUNTIF(ETM!D:D,$B$16)&gt;=(ROW(R18)/2-6),INDEX(ETM!E:E,MATCH($B$16,ETM!D:D,0)+(ROW(R18)/2-7)),"")</f>
        <v>ESPESSURA DA CAMADA</v>
      </c>
      <c r="H18" s="137"/>
      <c r="I18" s="165"/>
      <c r="J18" s="165"/>
      <c r="K18" s="146" t="str">
        <f>IF(COUNTIF(ETM!D:D,$B$16)&gt;=ROW(L18)/2-6,IF(INDEX(ETM!D:J,MATCH($B$16,ETM!D:D,0)+2,3)&lt;&gt;"",
                                    INDEX(ETM!D:J,MATCH($B$16,ETM!D:D,0)+2,3),
                                    IF(INDEX(ETM!D:J,MATCH($B$16,ETM!D:D,0)+2,4)&lt;&gt;"",IF(INDEX(ETM!D:J,MATCH($B$16,ETM!D:D,0)+2,5)&lt;&gt;"",INDEX(ETM!D:J,MATCH($B$16,ETM!D:D,0)+2,4)&amp;" - "&amp;INDEX(ETM!D:J,MATCH($B$16,ETM!D:D,0)+2,5),
                                                      IF(INDEX(ETM!D:J,MATCH($B$16,ETM!D:D,0)+2,5)="",INDEX(ETM!D:J,MATCH($B$16,ETM!D:D,0)+2,4)&amp;" MÍN.")),INDEX(ETM!D:J,MATCH($B$16,ETM!D:D,0)+2,5)&amp;" MÁX.")),"")</f>
        <v>8 - 12</v>
      </c>
      <c r="L18" s="146" t="str">
        <f>IF(COUNTIF(ETM!D:D,$B$16)&gt;=ROW(L20)/2-7,INDEX(ETM!$D:$J,MATCH($B$16,ETM!$D:$D,0)+ROW(L20)/2-8,6),"")</f>
        <v>MEDIDOR DE CAMADA</v>
      </c>
      <c r="M18" s="146">
        <f>IF(G18="","",INDEX(ETM!$D:$J,MATCH($B$16,ETM!$D:$D,0)+2,7))</f>
        <v>2</v>
      </c>
      <c r="N18" s="146" t="str">
        <f>IF(G18="","","LOTE")</f>
        <v>LOTE</v>
      </c>
      <c r="O18" s="146" t="str">
        <f>IF(G18&lt;&gt;"",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AUTOMÁTICO"),"R.I.P.",
                               IF(OR(LEFT($B$14,11)="RECEBIMENTO",$B$14="TRATAMENTO SUPERFICIAL"),"R.I.R.",
                               IF(OR($B$14="DESEMPENAR",$B$14="JATEAR",$B$14="MAGNAFLUX",$B$14="QUEIMA DE ÓLEO",$B$14="LIMPEZA MECÂNICA",$B$14="DESEMPENAR 100%"),"R.I.","R.I.F."))),"")</f>
        <v>R.I.R.</v>
      </c>
      <c r="P18" s="259"/>
      <c r="Q18" s="152" t="str">
        <f>IF(F18&lt;&gt;"","IT 9.4.9.","")</f>
        <v>IT 9.4.9.</v>
      </c>
    </row>
    <row r="19" spans="1:17" ht="12.6" customHeight="1">
      <c r="A19" s="164"/>
      <c r="B19" s="165"/>
      <c r="C19" s="165"/>
      <c r="D19" s="165"/>
      <c r="E19" s="165"/>
      <c r="F19" s="150"/>
      <c r="G19" s="137"/>
      <c r="H19" s="137"/>
      <c r="I19" s="165"/>
      <c r="J19" s="165"/>
      <c r="K19" s="147"/>
      <c r="L19" s="147"/>
      <c r="M19" s="147"/>
      <c r="N19" s="147"/>
      <c r="O19" s="147"/>
      <c r="P19" s="260"/>
      <c r="Q19" s="153"/>
    </row>
    <row r="20" spans="1:17" ht="12.6" customHeight="1">
      <c r="A20" s="164"/>
      <c r="B20" s="165"/>
      <c r="C20" s="165"/>
      <c r="D20" s="165"/>
      <c r="E20" s="165"/>
      <c r="F20" s="150" t="str">
        <f>IF(G20&lt;&gt;"",$A$14&amp;"."&amp;(ROW(G20)-12)/2,"")</f>
        <v>.4</v>
      </c>
      <c r="G20" s="137" t="str">
        <f>IF(COUNTIF(ETM!D:D,$B$16)&gt;=(ROW(R20)/2-6),INDEX(ETM!E:E,MATCH($B$16,ETM!D:D,0)+(ROW(R20)/2-7)),"")</f>
        <v>SALT SPRAY</v>
      </c>
      <c r="H20" s="137"/>
      <c r="I20" s="165"/>
      <c r="J20" s="165"/>
      <c r="K20" s="146" t="str">
        <f>IF(COUNTIF(ETM!D:D,$B$16)&gt;=ROW(L20)/2-6,IF(INDEX(ETM!D:J,MATCH($B$16,ETM!D:D,0)+3,3)&lt;&gt;"",
                                    INDEX(ETM!D:J,MATCH($B$16,ETM!D:D,0)+3,3),
                                    IF(INDEX(ETM!D:J,MATCH($B$16,ETM!D:D,0)+3,4)&lt;&gt;"",IF(INDEX(ETM!D:J,MATCH($B$16,ETM!D:D,0)+3,5)&lt;&gt;"",INDEX(ETM!D:J,MATCH($B$16,ETM!D:D,0)+3,4)&amp;" - "&amp;INDEX(ETM!D:J,MATCH($B$16,ETM!D:D,0)+3,5),
                                                      IF(INDEX(ETM!D:J,MATCH($B$16,ETM!D:D,0)+3,5)="",INDEX(ETM!D:J,MATCH($B$16,ETM!D:D,0)+3,4)&amp;" MÍN.")),INDEX(ETM!D:J,MATCH($B$16,ETM!D:D,0)+3,5)&amp;" MÁX.")),"")</f>
        <v>720H CORROSÃO VERMELHA</v>
      </c>
      <c r="L20" s="146" t="str">
        <f>IF(COUNTIF(ETM!D:D,$B$16)&gt;=ROW(L22)/2-7,INDEX(ETM!$D:$J,MATCH($B$16,ETM!$D:$D,0)+ROW(L22)/2-8,6),"")</f>
        <v>MÁQUINA DE SALT SPRAY</v>
      </c>
      <c r="M20" s="146">
        <f>IF(G20="","",INDEX(ETM!$D:$J,MATCH($B$16,ETM!$D:$D,0)+3,7))</f>
        <v>5</v>
      </c>
      <c r="N20" s="146" t="str">
        <f>IF(G20="","","LOTE")</f>
        <v>LOTE</v>
      </c>
      <c r="O20" s="146" t="str">
        <f>IF(G20&lt;&gt;"",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AUTOMÁTICO"),"R.I.P.",
                               IF(OR(LEFT($B$14,11)="RECEBIMENTO",$B$14="TRATAMENTO SUPERFICIAL"),"R.I.R.",
                               IF(OR($B$14="DESEMPENAR",$B$14="JATEAR",$B$14="MAGNAFLUX",$B$14="QUEIMA DE ÓLEO",$B$14="LIMPEZA MECÂNICA",$B$14="DESEMPENAR 100%"),"R.I.","R.I.F."))),"")</f>
        <v>R.I.R.</v>
      </c>
      <c r="P20" s="259"/>
      <c r="Q20" s="152" t="str">
        <f>IF(F20&lt;&gt;"","IT 9.4.9.","")</f>
        <v>IT 9.4.9.</v>
      </c>
    </row>
    <row r="21" spans="1:17" ht="61.5" customHeight="1">
      <c r="A21" s="164"/>
      <c r="B21" s="165"/>
      <c r="C21" s="165"/>
      <c r="D21" s="165"/>
      <c r="E21" s="165"/>
      <c r="F21" s="150"/>
      <c r="G21" s="137"/>
      <c r="H21" s="137"/>
      <c r="I21" s="165"/>
      <c r="J21" s="165"/>
      <c r="K21" s="147"/>
      <c r="L21" s="147"/>
      <c r="M21" s="147"/>
      <c r="N21" s="147"/>
      <c r="O21" s="147"/>
      <c r="P21" s="260"/>
      <c r="Q21" s="153"/>
    </row>
    <row r="22" spans="1:17" ht="12.6" customHeight="1">
      <c r="A22" s="164"/>
      <c r="B22" s="165"/>
      <c r="C22" s="165"/>
      <c r="D22" s="165"/>
      <c r="E22" s="165"/>
      <c r="F22" s="150" t="str">
        <f>IF(G22&lt;&gt;"",$A$14&amp;"."&amp;(ROW(G22)-12)/2,"")</f>
        <v>.5</v>
      </c>
      <c r="G22" s="137" t="str">
        <f>IF(COUNTIF(ETM!D:D,$B$16)&gt;=(ROW(R22)/2-6),INDEX(ETM!E:E,MATCH($B$16,ETM!D:D,0)+(ROW(R22)/2-7)),"")</f>
        <v>TRATAMENTO SUPERFICIAL</v>
      </c>
      <c r="H22" s="137"/>
      <c r="I22" s="165"/>
      <c r="J22" s="165"/>
      <c r="K22" s="146" t="str">
        <f>IF(COUNTIF(ETM!D:D,$B$16)&gt;=ROW(L20)/2-5,IF(INDEX(ETM!D:J,MATCH($B$16,ETM!D:D,0)+4,3)&lt;&gt;"",
                                    INDEX(ETM!D:J,MATCH($B$16,ETM!D:D,0)+4,3),
                                    IF(INDEX(ETM!D:J,MATCH($B$16,ETM!D:D,0)+4,4)&lt;&gt;"",IF(INDEX(ETM!D:J,MATCH($B$16,ETM!D:D,0)+4,5)&lt;&gt;"",INDEX(ETM!D:J,MATCH($B$16,ETM!D:D,0)+4,4)&amp;" - "&amp;INDEX(ETM!D:J,MATCH($B$16,ETM!D:D,0)+4,5),
                                                      IF(INDEX(ETM!D:J,MATCH($B$16,ETM!D:D,0)+4,5)="",INDEX(ETM!D:J,MATCH($B$16,ETM!D:D,0)+4,4)&amp;" MÍN.")),INDEX(ETM!D:J,MATCH($B$16,ETM!D:D,0)+4,5)&amp;" MÁX.")),"")</f>
        <v>GEOMET PRATA 321 + PLUS VLH INCOLOR</v>
      </c>
      <c r="L22" s="146" t="str">
        <f>IF(COUNTIF(ETM!D:D,$B$16)&gt;=ROW(L24)/2-7,INDEX(ETM!$D:$J,MATCH($B$16,ETM!$D:$D,0)+ROW(L24)/2-8,6),"")</f>
        <v>CONF. CERT. FORNECEDOR</v>
      </c>
      <c r="M22" s="146" t="str">
        <f>IF(G22="","",INDEX(ETM!$D:$J,MATCH($B$16,ETM!$D:$D,0)+4,7))</f>
        <v>N/A</v>
      </c>
      <c r="N22" s="146" t="str">
        <f>IF(G22="","","LOTE")</f>
        <v>LOTE</v>
      </c>
      <c r="O22" s="146" t="str">
        <f>IF(G22&lt;&gt;"",
                               IF(OR($B$14="ESTAMPAR",$B$14="LAMINAR ROSCA",$B$14="LAMINAR CANAIS",$B$14="ENDIREITAR",$B$14="CONFORMAR A FRIO",$B$14="FORJAR A QUENTE",$B$14="REPASSAR ROSCA",$B$14="LAMINAR RECARTILHA",$B$14="OLEAR COM ÓLEO PROTETIVO"),"R.I.P.",
                               IF(OR(LEFT($B$14,11)="RECEBIMENTO",$B$14="TRATAMENTO SUPERFICIAL"),"R.I.R.",
                               IF($B$14="","","R.I.F."))),"")</f>
        <v>R.I.R.</v>
      </c>
      <c r="P22" s="259"/>
      <c r="Q22" s="152" t="str">
        <f>IF(F22&lt;&gt;"","IT 9.4.9.","")</f>
        <v>IT 9.4.9.</v>
      </c>
    </row>
    <row r="23" spans="1:17" ht="12.6" customHeight="1">
      <c r="A23" s="164"/>
      <c r="B23" s="165"/>
      <c r="C23" s="165"/>
      <c r="D23" s="165"/>
      <c r="E23" s="165"/>
      <c r="F23" s="150"/>
      <c r="G23" s="137"/>
      <c r="H23" s="137"/>
      <c r="I23" s="165"/>
      <c r="J23" s="165"/>
      <c r="K23" s="147"/>
      <c r="L23" s="147"/>
      <c r="M23" s="147"/>
      <c r="N23" s="147"/>
      <c r="O23" s="147"/>
      <c r="P23" s="260"/>
      <c r="Q23" s="153"/>
    </row>
    <row r="24" spans="1:17" ht="12.6" customHeight="1">
      <c r="A24" s="164"/>
      <c r="B24" s="165"/>
      <c r="C24" s="165"/>
      <c r="D24" s="165"/>
      <c r="E24" s="165"/>
      <c r="F24" s="150" t="str">
        <f>IF(G24&lt;&gt;"",$A$14&amp;"."&amp;(ROW(G24)-12)/2,"")</f>
        <v/>
      </c>
      <c r="G24" s="137" t="str">
        <f>IF(COUNTIF(ETM!D:D,$B$16)&gt;=(ROW(R24)/2-6),INDEX(ETM!E:E,MATCH($B$16,ETM!D:D,0)+(ROW(R24)/2-7)),"")</f>
        <v/>
      </c>
      <c r="H24" s="137"/>
      <c r="I24" s="165"/>
      <c r="J24" s="165"/>
      <c r="K24" s="146" t="str">
        <f>IF(COUNTIF(ETM!D:D,$B$16)&gt;=ROW(L22)/2-5,IF(INDEX(ETM!D:J,MATCH($B$16,ETM!D:D,0)+4,3)&lt;&gt;"",
                                    INDEX(ETM!D:J,MATCH($B$16,ETM!D:D,0)+5,3),
                                    IF(INDEX(ETM!D:J,MATCH($B$16,ETM!D:D,0)+5,4)&lt;&gt;"",IF(INDEX(ETM!D:J,MATCH($B$16,ETM!D:D,0)+5,5)&lt;&gt;"",INDEX(ETM!D:J,MATCH($B$16,ETM!D:D,0)+5,4)&amp;" - "&amp;INDEX(ETM!D:J,MATCH($B$16,ETM!D:D,0)+5,5),
                                                      IF(INDEX(ETM!D:J,MATCH($B$16,ETM!D:D,0)+5,5)="",INDEX(ETM!D:J,MATCH($B$16,ETM!D:D,0)+5,4)&amp;" MÍN.")),INDEX(ETM!D:J,MATCH($B$16,ETM!D:D,0)+5,5)&amp;" MÁX.")),"")</f>
        <v/>
      </c>
      <c r="L24" s="146" t="str">
        <f>IF(COUNTIF(ETM!D:D,$B$16)&gt;=ROW(L26)/2-7,INDEX(ETM!$D:$J,MATCH($B$16,ETM!$D:$D,0)+ROW(L26)/2-8,6),"")</f>
        <v/>
      </c>
      <c r="M24" s="146" t="str">
        <f>IF(G24="","",INDEX(ETM!$D:$J,MATCH($B$16,ETM!$D:$D,0)+5,7))</f>
        <v/>
      </c>
      <c r="N24" s="146" t="str">
        <f>IF(G24="","","LOTE")</f>
        <v/>
      </c>
      <c r="O24" s="146" t="str">
        <f>IF(G24&lt;&gt;"",
                               IF(OR($B$14="ESTAMPAR",$B$14="LAMINAR ROSCA",$B$14="LAMINAR CANAIS",$B$14="ENDIREITAR",$B$14="CONFORMAR A FRIO",$B$14="FORJAR A QUENTE",$B$14="REPASSAR ROSCA",$B$14="LAMINAR RECARTILHA",$B$14="OLEAR COM ÓLEO PROTETIVO"),"R.I.P.",
                               IF(OR(LEFT($B$14,11)="RECEBIMENTO",$B$14="TRATAMENTO SUPERFICIAL"),"R.I.R.",
                               IF($B$14="","","R.I.F."))),"")</f>
        <v/>
      </c>
      <c r="P24" s="259"/>
      <c r="Q24" s="152" t="str">
        <f>IF(F24&lt;&gt;"","IT 9.4.9.","")</f>
        <v/>
      </c>
    </row>
    <row r="25" spans="1:17" ht="12.6" customHeight="1">
      <c r="A25" s="164"/>
      <c r="B25" s="165"/>
      <c r="C25" s="165"/>
      <c r="D25" s="165"/>
      <c r="E25" s="165"/>
      <c r="F25" s="150"/>
      <c r="G25" s="137"/>
      <c r="H25" s="137"/>
      <c r="I25" s="165"/>
      <c r="J25" s="165"/>
      <c r="K25" s="147"/>
      <c r="L25" s="147"/>
      <c r="M25" s="147"/>
      <c r="N25" s="147"/>
      <c r="O25" s="147"/>
      <c r="P25" s="260"/>
      <c r="Q25" s="153"/>
    </row>
    <row r="26" spans="1:17" ht="12.6" customHeight="1">
      <c r="A26" s="164"/>
      <c r="B26" s="165"/>
      <c r="C26" s="165"/>
      <c r="D26" s="165"/>
      <c r="E26" s="165"/>
      <c r="F26" s="150" t="str">
        <f>IF(G26&lt;&gt;"",$A$14&amp;"."&amp;(ROW(G26)-12)/2,"")</f>
        <v/>
      </c>
      <c r="G26" s="137" t="str">
        <f>IF(COUNTIF(ETM!D:D,$B$16)&gt;=(ROW(R26)/2-6),INDEX(ETM!E:E,MATCH($B$16,ETM!D:D,0)+(ROW(R26)/2-7)),"")</f>
        <v/>
      </c>
      <c r="H26" s="137"/>
      <c r="I26" s="165"/>
      <c r="J26" s="165"/>
      <c r="K26" s="146"/>
      <c r="L26" s="146" t="str">
        <f>IF(COUNTIF(ETM!D:D,$B$16)&gt;=ROW(L28)/2-7,INDEX(ETM!$D:$J,MATCH($B$16,ETM!$D:$D,0)+ROW(L28)/2-8,6),"")</f>
        <v/>
      </c>
      <c r="M26" s="146" t="str">
        <f>IF(G26&lt;&gt;"",IF(O26="R.I.F.",10,IF(OR(P26="C",P26="E"),4,IF(P26="D",6,2))),"")</f>
        <v/>
      </c>
      <c r="N26" s="146"/>
      <c r="O26" s="146" t="str">
        <f>IF(G26&lt;&gt;"",
                               IF(OR($B$14="ESTAMPAR",$B$14="LAMINAR ROSCA",$B$14="LAMINAR CANAIS",$B$14="ENDIREITAR",$B$14="CONFORMAR A FRIO",$B$14="FORJAR A QUENTE",$B$14="REPASSAR ROSCA",$B$14="LAMINAR RECARTILHA",$B$14="OLEAR COM ÓLEO PROTETIVO"),"R.I.P.",
                               IF(OR(LEFT($B$14,11)="RECEBIMENTO",$B$14="TRATAMENTO SUPERFICIAL"),"R.I.R.",
                               IF($B$14="","","R.I.F."))),"")</f>
        <v/>
      </c>
      <c r="P26" s="259"/>
      <c r="Q26" s="152" t="str">
        <f>IF(F26&lt;&gt;"","IT 9.4.9.","")</f>
        <v/>
      </c>
    </row>
    <row r="27" spans="1:17" ht="12.6" customHeight="1">
      <c r="A27" s="164"/>
      <c r="B27" s="165"/>
      <c r="C27" s="165"/>
      <c r="D27" s="165"/>
      <c r="E27" s="165"/>
      <c r="F27" s="150"/>
      <c r="G27" s="137"/>
      <c r="H27" s="137"/>
      <c r="I27" s="165"/>
      <c r="J27" s="165"/>
      <c r="K27" s="147"/>
      <c r="L27" s="147"/>
      <c r="M27" s="147"/>
      <c r="N27" s="147"/>
      <c r="O27" s="147"/>
      <c r="P27" s="260"/>
      <c r="Q27" s="153"/>
    </row>
    <row r="28" spans="1:17" ht="12.6" customHeight="1">
      <c r="A28" s="164"/>
      <c r="B28" s="165"/>
      <c r="C28" s="165"/>
      <c r="D28" s="165"/>
      <c r="E28" s="165"/>
      <c r="F28" s="150" t="str">
        <f>IF(G28&lt;&gt;"",$A$14&amp;"."&amp;(ROW(G28)-12)/2,"")</f>
        <v/>
      </c>
      <c r="G28" s="137" t="str">
        <f>IF(COUNTIF(ETM!D:D,$B$16)&gt;=(ROW(R28)/2-6),INDEX(ETM!E:E,MATCH($B$16,ETM!D:D,0)+(ROW(R28)/2-7)),"")</f>
        <v/>
      </c>
      <c r="H28" s="137"/>
      <c r="I28" s="165"/>
      <c r="J28" s="165"/>
      <c r="K28" s="146"/>
      <c r="L28" s="146" t="str">
        <f>IF(COUNTIF(ETM!D:D,$B$16)&gt;=ROW(L30)/2-7,INDEX(ETM!$D:$J,MATCH($B$16,ETM!$D:$D,0)+ROW(L30)/2-8,6),"")</f>
        <v/>
      </c>
      <c r="M28" s="146" t="str">
        <f>IF(G28&lt;&gt;"",IF(O28="R.I.F.",10,IF(OR(P28="C",P28="E"),4,IF(P28="D",6,2))),"")</f>
        <v/>
      </c>
      <c r="N28" s="146"/>
      <c r="O28" s="146" t="str">
        <f>IF(G28&lt;&gt;"",
                               IF(OR($B$14="ESTAMPAR",$B$14="LAMINAR ROSCA",$B$14="LAMINAR CANAIS",$B$14="ENDIREITAR",$B$14="CONFORMAR A FRIO",$B$14="FORJAR A QUENTE",$B$14="REPASSAR ROSCA",$B$14="LAMINAR RECARTILHA",$B$14="OLEAR COM ÓLEO PROTETIVO"),"R.I.P.",
                               IF(OR(LEFT($B$14,11)="RECEBIMENTO",$B$14="TRATAMENTO SUPERFICIAL"),"R.I.R.",
                               IF($B$14="","","R.I.F."))),"")</f>
        <v/>
      </c>
      <c r="P28" s="259"/>
      <c r="Q28" s="152" t="str">
        <f>IF(F28&lt;&gt;"","IT 9.4.9.","")</f>
        <v/>
      </c>
    </row>
    <row r="29" spans="1:17" ht="12.6" customHeight="1">
      <c r="A29" s="164"/>
      <c r="B29" s="165"/>
      <c r="C29" s="165"/>
      <c r="D29" s="165"/>
      <c r="E29" s="165"/>
      <c r="F29" s="150"/>
      <c r="G29" s="137"/>
      <c r="H29" s="137"/>
      <c r="I29" s="165"/>
      <c r="J29" s="165"/>
      <c r="K29" s="147"/>
      <c r="L29" s="147"/>
      <c r="M29" s="147"/>
      <c r="N29" s="147"/>
      <c r="O29" s="147"/>
      <c r="P29" s="260"/>
      <c r="Q29" s="153"/>
    </row>
    <row r="30" spans="1:17" ht="12.6" customHeight="1">
      <c r="A30" s="164"/>
      <c r="B30" s="165"/>
      <c r="C30" s="165"/>
      <c r="D30" s="165"/>
      <c r="E30" s="165"/>
      <c r="F30" s="150" t="str">
        <f>IF(G30&lt;&gt;"",$A$14&amp;"."&amp;(ROW(G30)-12)/2,"")</f>
        <v/>
      </c>
      <c r="G30" s="137" t="str">
        <f>IF(COUNTIF(ETM!D:D,$B$16)&gt;=(ROW(R30)/2-6),INDEX(ETM!E:E,MATCH($B$16,ETM!D:D,0)+(ROW(R30)/2-7)),"")</f>
        <v/>
      </c>
      <c r="H30" s="137"/>
      <c r="I30" s="165"/>
      <c r="J30" s="165"/>
      <c r="K30" s="146"/>
      <c r="L30" s="146" t="str">
        <f>IF(COUNTIF(ETM!D:D,$B$16)&gt;=ROW(L32)/2-7,INDEX(ETM!$D:$J,MATCH($B$16,ETM!$D:$D,0)+ROW(L32)/2-8,6),"")</f>
        <v/>
      </c>
      <c r="M30" s="146" t="str">
        <f>IF(G30&lt;&gt;"",IF(O30="R.I.F.",10,IF(OR(P30="C",P30="E"),4,IF(P30="D",6,2))),"")</f>
        <v/>
      </c>
      <c r="N30" s="146"/>
      <c r="O30" s="146" t="str">
        <f>IF(G30&lt;&gt;"",
                               IF(OR($B$14="ESTAMPAR",$B$14="LAMINAR ROSCA",$B$14="LAMINAR CANAIS",$B$14="ENDIREITAR",$B$14="CONFORMAR A FRIO",$B$14="FORJAR A QUENTE",$B$14="REPASSAR ROSCA",$B$14="LAMINAR RECARTILHA",$B$14="OLEAR COM ÓLEO PROTETIVO"),"R.I.P.",
                               IF(OR(LEFT($B$14,11)="RECEBIMENTO",$B$14="TRATAMENTO SUPERFICIAL"),"R.I.R.",
                               IF($B$14="","","R.I.F."))),"")</f>
        <v/>
      </c>
      <c r="P30" s="259"/>
      <c r="Q30" s="152" t="str">
        <f>IF(F30&lt;&gt;"","IT 9.4.9.","")</f>
        <v/>
      </c>
    </row>
    <row r="31" spans="1:17" ht="12.6" customHeight="1">
      <c r="A31" s="164"/>
      <c r="B31" s="165"/>
      <c r="C31" s="165"/>
      <c r="D31" s="165"/>
      <c r="E31" s="165"/>
      <c r="F31" s="150"/>
      <c r="G31" s="137"/>
      <c r="H31" s="137"/>
      <c r="I31" s="165"/>
      <c r="J31" s="165"/>
      <c r="K31" s="147"/>
      <c r="L31" s="147"/>
      <c r="M31" s="147"/>
      <c r="N31" s="147"/>
      <c r="O31" s="147"/>
      <c r="P31" s="260"/>
      <c r="Q31" s="153"/>
    </row>
    <row r="32" spans="1:17" ht="12.6" customHeight="1">
      <c r="A32" s="136"/>
      <c r="B32" s="137"/>
      <c r="C32" s="137"/>
      <c r="D32" s="137"/>
      <c r="E32" s="137"/>
      <c r="F32" s="150" t="str">
        <f>IF(G32&lt;&gt;"",$A$14&amp;"."&amp;(ROW(G32)-12)/2,"")</f>
        <v/>
      </c>
      <c r="G32" s="137" t="str">
        <f>IF(COUNTIF(ETM!D:D,$B$16)&gt;=(ROW(R32)/2-6),INDEX(ETM!E:E,MATCH($B$16,ETM!D:D,0)+(ROW(R32)/2-7)),"")</f>
        <v/>
      </c>
      <c r="H32" s="137"/>
      <c r="I32" s="142"/>
      <c r="J32" s="143"/>
      <c r="K32" s="146"/>
      <c r="L32" s="146" t="str">
        <f>IF(COUNTIF(ETM!D:D,$B$16)&gt;=ROW(L34)/2-7,INDEX(ETM!$D:$J,MATCH($B$16,ETM!$D:$D,0)+ROW(L34)/2-8,6),"")</f>
        <v/>
      </c>
      <c r="M32" s="146" t="str">
        <f>IF(G32&lt;&gt;"",IF(O32="R.I.F.",10,IF(OR(P32="C",P32="E"),4,IF(P32="D",6,2))),"")</f>
        <v/>
      </c>
      <c r="N32" s="146"/>
      <c r="O32" s="146" t="str">
        <f>IF(G32&lt;&gt;"",
                               IF(OR($B$14="ESTAMPAR",$B$14="LAMINAR ROSCA",$B$14="LAMINAR CANAIS",$B$14="ENDIREITAR",$B$14="CONFORMAR A FRIO",$B$14="FORJAR A QUENTE",$B$14="REPASSAR ROSCA",$B$14="LAMINAR RECARTILHA",$B$14="OLEAR COM ÓLEO PROTETIVO"),"R.I.P.",
                               IF(OR(LEFT($B$14,11)="RECEBIMENTO",$B$14="TRATAMENTO SUPERFICIAL"),"R.I.R.",
                               IF($B$14="","","R.I.F."))),"")</f>
        <v/>
      </c>
      <c r="P32" s="259"/>
      <c r="Q32" s="152" t="str">
        <f>IF(F32&lt;&gt;"","IT 9.4.9.","")</f>
        <v/>
      </c>
    </row>
    <row r="33" spans="1:17" ht="12.6" customHeight="1">
      <c r="A33" s="136"/>
      <c r="B33" s="137"/>
      <c r="C33" s="137"/>
      <c r="D33" s="137"/>
      <c r="E33" s="137"/>
      <c r="F33" s="150"/>
      <c r="G33" s="137"/>
      <c r="H33" s="137"/>
      <c r="I33" s="144"/>
      <c r="J33" s="145"/>
      <c r="K33" s="147"/>
      <c r="L33" s="147"/>
      <c r="M33" s="147"/>
      <c r="N33" s="147"/>
      <c r="O33" s="147"/>
      <c r="P33" s="260"/>
      <c r="Q33" s="153"/>
    </row>
    <row r="34" spans="1:17" ht="12.6" customHeight="1">
      <c r="A34" s="136"/>
      <c r="B34" s="309">
        <f>COUNTIF(ETM!D:D,$B$16)</f>
        <v>5</v>
      </c>
      <c r="C34" s="309"/>
      <c r="D34" s="137"/>
      <c r="E34" s="137"/>
      <c r="F34" s="150" t="str">
        <f>IF(G34&lt;&gt;"",$A$14&amp;"."&amp;(ROW(G34)-12)/2,"")</f>
        <v/>
      </c>
      <c r="G34" s="137" t="str">
        <f>IF(COUNTIF(ETM!D:D,$B$16)&gt;=(ROW(R34)/2-6),INDEX(ETM!E:E,MATCH($B$16,ETM!D:D,0)+(ROW(R34)/2-7)),"")</f>
        <v/>
      </c>
      <c r="H34" s="137"/>
      <c r="I34" s="142"/>
      <c r="J34" s="143"/>
      <c r="K34" s="146"/>
      <c r="L34" s="146" t="str">
        <f>IF(COUNTIF(ETM!D:D,$B$16)&gt;=ROW(L36)/2-7,INDEX(ETM!$D:$J,MATCH($B$16,ETM!$D:$D,0)+ROW(L36)/2-8,6),"")</f>
        <v/>
      </c>
      <c r="M34" s="146" t="str">
        <f>IF(G34&lt;&gt;"",IF(O34="R.I.F.",10,IF(OR(P34="C",P34="E"),4,IF(P34="D",6,2))),"")</f>
        <v/>
      </c>
      <c r="N34" s="146"/>
      <c r="O34" s="146" t="str">
        <f>IF(G34&lt;&gt;"",
                               IF(OR($B$14="ESTAMPAR",$B$14="LAMINAR ROSCA",$B$14="LAMINAR CANAIS",$B$14="ENDIREITAR",$B$14="CONFORMAR A FRIO",$B$14="FORJAR A QUENTE",$B$14="REPASSAR ROSCA",$B$14="LAMINAR RECARTILHA",$B$14="OLEAR COM ÓLEO PROTETIVO"),"R.I.P.",
                               IF(OR(LEFT($B$14,11)="RECEBIMENTO",$B$14="TRATAMENTO SUPERFICIAL"),"R.I.R.",
                               IF($B$14="","","R.I.F."))),"")</f>
        <v/>
      </c>
      <c r="P34" s="259"/>
      <c r="Q34" s="152" t="str">
        <f>IF(F34&lt;&gt;"","IT 9.4.9.","")</f>
        <v/>
      </c>
    </row>
    <row r="35" spans="1:17" ht="12.6" customHeight="1">
      <c r="A35" s="136"/>
      <c r="B35" s="309"/>
      <c r="C35" s="309"/>
      <c r="D35" s="137"/>
      <c r="E35" s="137"/>
      <c r="F35" s="150"/>
      <c r="G35" s="137"/>
      <c r="H35" s="137"/>
      <c r="I35" s="144"/>
      <c r="J35" s="145"/>
      <c r="K35" s="147"/>
      <c r="L35" s="147"/>
      <c r="M35" s="147"/>
      <c r="N35" s="147"/>
      <c r="O35" s="147"/>
      <c r="P35" s="260"/>
      <c r="Q35" s="153"/>
    </row>
    <row r="36" spans="1:17" ht="12.6" customHeight="1">
      <c r="A36" s="136"/>
      <c r="B36" s="137"/>
      <c r="C36" s="137"/>
      <c r="D36" s="137"/>
      <c r="E36" s="137"/>
      <c r="F36" s="150" t="str">
        <f>IF(G36&lt;&gt;"",$A$14&amp;"."&amp;(ROW(G36)-12)/2,"")</f>
        <v/>
      </c>
      <c r="G36" s="137" t="str">
        <f>IF(COUNTIF(ETM!D:D,$B$16)&gt;=(ROW(R36)/2-6),INDEX(ETM!E:E,MATCH($B$16,ETM!D:D,0)+(ROW(R36)/2-7)),"")</f>
        <v/>
      </c>
      <c r="H36" s="137"/>
      <c r="I36" s="138"/>
      <c r="J36" s="139"/>
      <c r="K36" s="146"/>
      <c r="L36" s="146" t="str">
        <f>IF(COUNTIF(ETM!D:D,$B$16)&gt;=ROW(L38)/2-7,INDEX(ETM!$D:$J,MATCH($B$16,ETM!$D:$D,0)+ROW(L38)/2-8,6),"")</f>
        <v/>
      </c>
      <c r="M36" s="146" t="str">
        <f>IF(G36&lt;&gt;"",IF(O36="R.I.F.",10,IF(OR(P36="C",P36="E"),4,IF(P36="D",6,2))),"")</f>
        <v/>
      </c>
      <c r="N36" s="146"/>
      <c r="O36" s="146" t="str">
        <f>IF(G36&lt;&gt;"",
                               IF(OR($B$14="ESTAMPAR",$B$14="LAMINAR ROSCA",$B$14="LAMINAR CANAIS",$B$14="ENDIREITAR",$B$14="CONFORMAR A FRIO",$B$14="FORJAR A QUENTE",$B$14="REPASSAR ROSCA",$B$14="LAMINAR RECARTILHA",$B$14="OLEAR COM ÓLEO PROTETIVO"),"R.I.P.",
                               IF(OR(LEFT($B$14,11)="RECEBIMENTO",$B$14="TRATAMENTO SUPERFICIAL"),"R.I.R.",
                               IF($B$14="","","R.I.F."))),"")</f>
        <v/>
      </c>
      <c r="P36" s="259"/>
      <c r="Q36" s="152" t="str">
        <f>IF(F36&lt;&gt;"","IT 9.4.9.","")</f>
        <v/>
      </c>
    </row>
    <row r="37" spans="1:17" ht="12.6" customHeight="1">
      <c r="A37" s="136"/>
      <c r="B37" s="137"/>
      <c r="C37" s="137"/>
      <c r="D37" s="137"/>
      <c r="E37" s="137"/>
      <c r="F37" s="150"/>
      <c r="G37" s="137"/>
      <c r="H37" s="137"/>
      <c r="I37" s="140"/>
      <c r="J37" s="141"/>
      <c r="K37" s="147"/>
      <c r="L37" s="147"/>
      <c r="M37" s="147"/>
      <c r="N37" s="147"/>
      <c r="O37" s="147"/>
      <c r="P37" s="260"/>
      <c r="Q37" s="153"/>
    </row>
    <row r="38" spans="1:17" ht="12.6" customHeight="1">
      <c r="A38" s="136"/>
      <c r="B38" s="137"/>
      <c r="C38" s="137"/>
      <c r="D38" s="137"/>
      <c r="E38" s="137"/>
      <c r="F38" s="150" t="str">
        <f>IF(G38&lt;&gt;"",$A$14&amp;"."&amp;(ROW(G38)-12)/2,"")</f>
        <v/>
      </c>
      <c r="G38" s="137" t="str">
        <f>IF(COUNTIF(ETM!D:D,$B$16)&gt;=(ROW(R38)/2-6),INDEX(ETM!E:E,MATCH($B$16,ETM!D:D,0)+(ROW(R38)/2-7)),"")</f>
        <v/>
      </c>
      <c r="H38" s="137"/>
      <c r="I38" s="137"/>
      <c r="J38" s="137"/>
      <c r="K38" s="146"/>
      <c r="L38" s="146" t="str">
        <f>IF(COUNTIF(ETM!D:D,$B$16)&gt;=ROW(L40)/2-7,INDEX(ETM!$D:$J,MATCH($B$16,ETM!$D:$D,0)+ROW(L40)/2-8,6),"")</f>
        <v/>
      </c>
      <c r="M38" s="146" t="str">
        <f>IF(G38&lt;&gt;"",IF(O38="R.I.F.",10,IF(OR(P38="C",P38="E"),4,IF(P38="D",6,2))),"")</f>
        <v/>
      </c>
      <c r="N38" s="146"/>
      <c r="O38" s="146" t="str">
        <f>IF(G38&lt;&gt;"",
                               IF(OR($B$14="ESTAMPAR",$B$14="LAMINAR ROSCA",$B$14="LAMINAR CANAIS",$B$14="ENDIREITAR",$B$14="CONFORMAR A FRIO",$B$14="FORJAR A QUENTE",$B$14="REPASSAR ROSCA",$B$14="LAMINAR RECARTILHA",$B$14="OLEAR COM ÓLEO PROTETIVO"),"R.I.P.",
                               IF(OR(LEFT($B$14,11)="RECEBIMENTO",$B$14="TRATAMENTO SUPERFICIAL"),"R.I.R.",
                               IF($B$14="","","R.I.F."))),"")</f>
        <v/>
      </c>
      <c r="P38" s="259"/>
      <c r="Q38" s="152" t="str">
        <f>IF(F38&lt;&gt;"","IT 9.4.9.","")</f>
        <v/>
      </c>
    </row>
    <row r="39" spans="1:17" ht="12.6" customHeight="1">
      <c r="A39" s="136"/>
      <c r="B39" s="137"/>
      <c r="C39" s="137"/>
      <c r="D39" s="137"/>
      <c r="E39" s="137"/>
      <c r="F39" s="150"/>
      <c r="G39" s="137"/>
      <c r="H39" s="137"/>
      <c r="I39" s="137"/>
      <c r="J39" s="137"/>
      <c r="K39" s="147"/>
      <c r="L39" s="147"/>
      <c r="M39" s="147"/>
      <c r="N39" s="147"/>
      <c r="O39" s="147"/>
      <c r="P39" s="260"/>
      <c r="Q39" s="153"/>
    </row>
    <row r="40" spans="1:17" ht="12.6" customHeight="1">
      <c r="A40" s="136"/>
      <c r="B40" s="137"/>
      <c r="C40" s="137"/>
      <c r="D40" s="137"/>
      <c r="E40" s="137"/>
      <c r="F40" s="150" t="str">
        <f>IF(G40&lt;&gt;"",$A$14&amp;"."&amp;(ROW(G40)-12)/2,"")</f>
        <v/>
      </c>
      <c r="G40" s="137" t="str">
        <f>IF(COUNTIF(ETM!D:D,$B$16)&gt;=(ROW(R40)/2-6),INDEX(ETM!E:E,MATCH($B$16,ETM!D:D,0)+(ROW(R40)/2-7)),"")</f>
        <v/>
      </c>
      <c r="H40" s="137"/>
      <c r="I40" s="137"/>
      <c r="J40" s="137"/>
      <c r="K40" s="146"/>
      <c r="L40" s="146" t="str">
        <f>IF(COUNTIF(ETM!D:D,$B$16)&gt;=ROW(L42)/2-7,INDEX(ETM!$D:$J,MATCH($B$16,ETM!$D:$D,0)+ROW(L42)/2-8,6),"")</f>
        <v/>
      </c>
      <c r="M40" s="146" t="str">
        <f>IF(G40&lt;&gt;"",IF(O40="R.I.F.",10,IF(OR(P40="C",P40="E"),4,IF(P40="D",6,2))),"")</f>
        <v/>
      </c>
      <c r="N40" s="146"/>
      <c r="O40" s="146" t="str">
        <f>IF(G40&lt;&gt;"",
                               IF(OR($B$14="ESTAMPAR",$B$14="LAMINAR ROSCA",$B$14="LAMINAR CANAIS",$B$14="ENDIREITAR",$B$14="CONFORMAR A FRIO",$B$14="FORJAR A QUENTE",$B$14="REPASSAR ROSCA",$B$14="LAMINAR RECARTILHA",$B$14="OLEAR COM ÓLEO PROTETIVO"),"R.I.P.",
                               IF(OR(LEFT($B$14,11)="RECEBIMENTO",$B$14="TRATAMENTO SUPERFICIAL"),"R.I.R.",
                               IF($B$14="","","R.I.F."))),"")</f>
        <v/>
      </c>
      <c r="P40" s="259"/>
      <c r="Q40" s="152" t="str">
        <f>IF(F40&lt;&gt;"","IT 9.4.9.","")</f>
        <v/>
      </c>
    </row>
    <row r="41" spans="1:17" ht="12.6" customHeight="1">
      <c r="A41" s="136"/>
      <c r="B41" s="137"/>
      <c r="C41" s="137"/>
      <c r="D41" s="137"/>
      <c r="E41" s="137"/>
      <c r="F41" s="150"/>
      <c r="G41" s="137"/>
      <c r="H41" s="137"/>
      <c r="I41" s="137"/>
      <c r="J41" s="137"/>
      <c r="K41" s="147"/>
      <c r="L41" s="147"/>
      <c r="M41" s="147"/>
      <c r="N41" s="147"/>
      <c r="O41" s="147"/>
      <c r="P41" s="260"/>
      <c r="Q41" s="153"/>
    </row>
    <row r="42" spans="1:17" ht="12.6" customHeight="1">
      <c r="A42" s="136"/>
      <c r="B42" s="137"/>
      <c r="C42" s="137"/>
      <c r="D42" s="137"/>
      <c r="E42" s="137"/>
      <c r="F42" s="150" t="str">
        <f>IF(G42&lt;&gt;"",$A$14&amp;"."&amp;(ROW(G42)-12)/2,"")</f>
        <v/>
      </c>
      <c r="G42" s="137" t="str">
        <f>IF(COUNTIF(ETM!D:D,$B$16)&gt;=(ROW(R42)/2-6),INDEX(ETM!E:E,MATCH($B$16,ETM!D:D,0)+(ROW(R42)/2-7)),"")</f>
        <v/>
      </c>
      <c r="H42" s="137"/>
      <c r="I42" s="137"/>
      <c r="J42" s="137"/>
      <c r="K42" s="146"/>
      <c r="L42" s="146" t="str">
        <f>IF(COUNTIF(ETM!D:D,$B$16)&gt;=ROW(L44)/2-7,INDEX(ETM!$D:$J,MATCH($B$16,ETM!$D:$D,0)+ROW(L44)/2-8,6),"")</f>
        <v/>
      </c>
      <c r="M42" s="146" t="str">
        <f>IF(G42&lt;&gt;"",IF(O42="R.I.F.",10,IF(OR(P42="C",P42="E"),4,IF(P42="D",6,2))),"")</f>
        <v/>
      </c>
      <c r="N42" s="146"/>
      <c r="O42" s="146" t="str">
        <f>IF(G42&lt;&gt;"",
                               IF(OR($B$14="ESTAMPAR",$B$14="LAMINAR ROSCA",$B$14="LAMINAR CANAIS",$B$14="ENDIREITAR",$B$14="CONFORMAR A FRIO",$B$14="FORJAR A QUENTE",$B$14="REPASSAR ROSCA",$B$14="LAMINAR RECARTILHA",$B$14="OLEAR COM ÓLEO PROTETIVO"),"R.I.P.",
                               IF(OR(LEFT($B$14,11)="RECEBIMENTO",$B$14="TRATAMENTO SUPERFICIAL"),"R.I.R.",
                               IF($B$14="","","R.I.F."))),"")</f>
        <v/>
      </c>
      <c r="P42" s="259"/>
      <c r="Q42" s="152" t="str">
        <f>IF(F42&lt;&gt;"","IT 9.4.9.","")</f>
        <v/>
      </c>
    </row>
    <row r="43" spans="1:17" ht="12.6" customHeight="1">
      <c r="A43" s="136"/>
      <c r="B43" s="137"/>
      <c r="C43" s="137"/>
      <c r="D43" s="137"/>
      <c r="E43" s="137"/>
      <c r="F43" s="150"/>
      <c r="G43" s="137"/>
      <c r="H43" s="137"/>
      <c r="I43" s="137"/>
      <c r="J43" s="137"/>
      <c r="K43" s="147"/>
      <c r="L43" s="147"/>
      <c r="M43" s="147"/>
      <c r="N43" s="147"/>
      <c r="O43" s="147"/>
      <c r="P43" s="260"/>
      <c r="Q43" s="153"/>
    </row>
    <row r="44" spans="1:17" ht="12.6" customHeight="1">
      <c r="A44" s="136"/>
      <c r="B44" s="137"/>
      <c r="C44" s="137"/>
      <c r="D44" s="137"/>
      <c r="E44" s="137"/>
      <c r="F44" s="150" t="str">
        <f>IF(G44&lt;&gt;"",$A$14&amp;"."&amp;(ROW(G44)-12)/2,"")</f>
        <v/>
      </c>
      <c r="G44" s="137" t="str">
        <f>IF(COUNTIF(ETM!D:D,$B$16)&gt;=(ROW(R44)/2-6),INDEX(ETM!E:E,MATCH($B$16,ETM!D:D,0)+(ROW(R44)/2-7)),"")</f>
        <v/>
      </c>
      <c r="H44" s="137"/>
      <c r="I44" s="137"/>
      <c r="J44" s="137"/>
      <c r="K44" s="137"/>
      <c r="L44" s="146" t="str">
        <f>IF(COUNTIF(ETM!D:D,$B$16)&gt;=ROW(L46)/2-7,INDEX(ETM!$D:$J,MATCH($B$16,ETM!$D:$D,0)+ROW(L46)/2-8,6),"")</f>
        <v/>
      </c>
      <c r="M44" s="146" t="str">
        <f>IF(G44&lt;&gt;"",IF(O44="R.I.F.",10,IF(OR(P44="C",P44="E"),4,IF(P44="D",6,2))),"")</f>
        <v/>
      </c>
      <c r="N44" s="137"/>
      <c r="O44" s="146" t="str">
        <f>IF(G44&lt;&gt;"",
                               IF(OR($B$14="ESTAMPAR",$B$14="LAMINAR ROSCA",$B$14="LAMINAR CANAIS",$B$14="ENDIREITAR",$B$14="CONFORMAR A FRIO",$B$14="FORJAR A QUENTE",$B$14="REPASSAR ROSCA",$B$14="LAMINAR RECARTILHA",$B$14="OLEAR COM ÓLEO PROTETIVO"),"R.I.P.",
                               IF(OR(LEFT($B$14,11)="RECEBIMENTO",$B$14="TRATAMENTO SUPERFICIAL"),"R.I.R.",
                               IF($B$14="","","R.I.F."))),"")</f>
        <v/>
      </c>
      <c r="P44" s="259"/>
      <c r="Q44" s="152" t="str">
        <f>IF(F44&lt;&gt;"","IT 9.4.9.","")</f>
        <v/>
      </c>
    </row>
    <row r="45" spans="1:17" ht="12.6" customHeight="1">
      <c r="A45" s="163"/>
      <c r="B45" s="146"/>
      <c r="C45" s="146"/>
      <c r="D45" s="146"/>
      <c r="E45" s="146"/>
      <c r="F45" s="150"/>
      <c r="G45" s="137"/>
      <c r="H45" s="137"/>
      <c r="I45" s="146"/>
      <c r="J45" s="146"/>
      <c r="K45" s="146"/>
      <c r="L45" s="147"/>
      <c r="M45" s="147"/>
      <c r="N45" s="146"/>
      <c r="O45" s="147"/>
      <c r="P45" s="260"/>
      <c r="Q45" s="153"/>
    </row>
    <row r="46" spans="1:17" ht="12.6" customHeight="1">
      <c r="A46" s="136"/>
      <c r="B46" s="137"/>
      <c r="C46" s="137"/>
      <c r="D46" s="137"/>
      <c r="E46" s="137"/>
      <c r="F46" s="150" t="str">
        <f>IF(G46&lt;&gt;"",$A$14&amp;"."&amp;(ROW(G46)-12)/2,"")</f>
        <v/>
      </c>
      <c r="G46" s="137" t="str">
        <f>IF(COUNTIF(ETM!D:D,$B$16)&gt;=(ROW(R46)/2-6),INDEX(ETM!E:E,MATCH($B$16,ETM!D:D,0)+(ROW(R46)/2-7)),"")</f>
        <v/>
      </c>
      <c r="H46" s="137"/>
      <c r="I46" s="137"/>
      <c r="J46" s="137"/>
      <c r="K46" s="137"/>
      <c r="L46" s="146" t="str">
        <f>IF(COUNTIF(ETM!D:D,$B$16)&gt;=ROW(L48)/2-7,INDEX(ETM!$D:$J,MATCH($B$16,ETM!$D:$D,0)+ROW(L48)/2-8,6),"")</f>
        <v/>
      </c>
      <c r="M46" s="146" t="str">
        <f>IF(G46&lt;&gt;"",IF(O46="R.I.F.",10,IF(OR(P46="C",P46="E"),4,IF(P46="D",6,2))),"")</f>
        <v/>
      </c>
      <c r="N46" s="137"/>
      <c r="O46" s="146" t="str">
        <f>IF(G46&lt;&gt;"",
                               IF(OR($B$14="ESTAMPAR",$B$14="LAMINAR ROSCA",$B$14="LAMINAR CANAIS",$B$14="ENDIREITAR",$B$14="CONFORMAR A FRIO",$B$14="FORJAR A QUENTE",$B$14="REPASSAR ROSCA",$B$14="LAMINAR RECARTILHA",$B$14="OLEAR COM ÓLEO PROTETIVO"),"R.I.P.",
                               IF(OR(LEFT($B$14,11)="RECEBIMENTO",$B$14="TRATAMENTO SUPERFICIAL"),"R.I.R.",
                               IF($B$14="","","R.I.F."))),"")</f>
        <v/>
      </c>
      <c r="P46" s="259"/>
      <c r="Q46" s="152" t="str">
        <f>IF(F46&lt;&gt;"","IT 9.4.9.","")</f>
        <v/>
      </c>
    </row>
    <row r="47" spans="1:17" ht="12.6" customHeight="1">
      <c r="A47" s="136"/>
      <c r="B47" s="137"/>
      <c r="C47" s="137"/>
      <c r="D47" s="137"/>
      <c r="E47" s="137"/>
      <c r="F47" s="150"/>
      <c r="G47" s="137"/>
      <c r="H47" s="137"/>
      <c r="I47" s="137"/>
      <c r="J47" s="137"/>
      <c r="K47" s="137"/>
      <c r="L47" s="147"/>
      <c r="M47" s="147"/>
      <c r="N47" s="137"/>
      <c r="O47" s="147"/>
      <c r="P47" s="260"/>
      <c r="Q47" s="153"/>
    </row>
    <row r="48" spans="1:17" ht="12.6" customHeight="1">
      <c r="A48" s="136"/>
      <c r="B48" s="363"/>
      <c r="C48" s="363"/>
      <c r="D48" s="137"/>
      <c r="E48" s="137"/>
      <c r="F48" s="150" t="str">
        <f>IF(G48&lt;&gt;"",$A$14&amp;"."&amp;(ROW(G48)-12)/2,"")</f>
        <v/>
      </c>
      <c r="G48" s="137" t="str">
        <f>IF(COUNTIF(ETM!D:D,$B$16)&gt;=(ROW(R48)/2-6),INDEX(ETM!E:E,MATCH($B$16,ETM!D:D,0)+(ROW(R48)/2-7)),"")</f>
        <v/>
      </c>
      <c r="H48" s="137"/>
      <c r="I48" s="137"/>
      <c r="J48" s="137"/>
      <c r="K48" s="137"/>
      <c r="L48" s="146" t="str">
        <f>IF(COUNTIF(ETM!D:D,$B$16)&gt;=ROW(L50)/2-7,INDEX(ETM!$D:$J,MATCH($B$16,ETM!$D:$D,0)+ROW(L50)/2-8,6),"")</f>
        <v/>
      </c>
      <c r="M48" s="146" t="str">
        <f>IF(G48&lt;&gt;"",IF(O48="R.I.F.",10,IF(OR(P48="C",P48="E"),4,IF(P48="D",6,2))),"")</f>
        <v/>
      </c>
      <c r="N48" s="137"/>
      <c r="O48" s="146" t="str">
        <f>IF(G48&lt;&gt;"",
                               IF(OR($B$14="ESTAMPAR",$B$14="LAMINAR ROSCA",$B$14="LAMINAR CANAIS",$B$14="ENDIREITAR",$B$14="CONFORMAR A FRIO",$B$14="FORJAR A QUENTE",$B$14="REPASSAR ROSCA",$B$14="LAMINAR RECARTILHA",$B$14="OLEAR COM ÓLEO PROTETIVO"),"R.I.P.",
                               IF(OR(LEFT($B$14,11)="RECEBIMENTO",$B$14="TRATAMENTO SUPERFICIAL"),"R.I.R.",
                               IF($B$14="","","R.I.F."))),"")</f>
        <v/>
      </c>
      <c r="P48" s="259"/>
      <c r="Q48" s="152" t="str">
        <f>IF(F48&lt;&gt;"","IT 9.4.9.","")</f>
        <v/>
      </c>
    </row>
    <row r="49" spans="1:17" ht="12.6" customHeight="1" thickBot="1">
      <c r="A49" s="136"/>
      <c r="B49" s="363"/>
      <c r="C49" s="363"/>
      <c r="D49" s="137"/>
      <c r="E49" s="137"/>
      <c r="F49" s="150"/>
      <c r="G49" s="137"/>
      <c r="H49" s="137"/>
      <c r="I49" s="137"/>
      <c r="J49" s="137"/>
      <c r="K49" s="137"/>
      <c r="L49" s="147"/>
      <c r="M49" s="147"/>
      <c r="N49" s="137"/>
      <c r="O49" s="147"/>
      <c r="P49" s="260"/>
      <c r="Q49" s="153"/>
    </row>
    <row r="50" spans="1:17" ht="12.6" customHeight="1">
      <c r="A50" s="157" t="s">
        <v>53</v>
      </c>
      <c r="B50" s="158"/>
      <c r="C50" s="158"/>
      <c r="D50" s="158"/>
      <c r="E50" s="159"/>
      <c r="F50" s="150" t="str">
        <f>IF(G50&lt;&gt;"",$A$14&amp;"."&amp;(ROW(G50)-12)/2,"")</f>
        <v/>
      </c>
      <c r="G50" s="137" t="str">
        <f>IF(COUNTIF(ETM!D:D,$B$16)&gt;=(ROW(R50)/2-6),INDEX(ETM!E:E,MATCH($B$16,ETM!D:D,0)+(ROW(R50)/2-7)),"")</f>
        <v/>
      </c>
      <c r="H50" s="137"/>
      <c r="I50" s="364"/>
      <c r="J50" s="364"/>
      <c r="K50" s="364"/>
      <c r="L50" s="146" t="str">
        <f>IF(COUNTIF(ETM!D:D,$B$16)&gt;=ROW(L52)/2-7,INDEX(ETM!$D:$J,MATCH($B$16,ETM!$D:$D,0)+ROW(L52)/2-8,6),"")</f>
        <v/>
      </c>
      <c r="M50" s="146" t="str">
        <f>IF(G50&lt;&gt;"",IF(O50="R.I.F.",10,IF(OR(P50="C",P50="E"),4,IF(P50="D",6,2))),"")</f>
        <v/>
      </c>
      <c r="N50" s="364"/>
      <c r="O50" s="146" t="str">
        <f>IF(G50&lt;&gt;"",
                               IF(OR($B$14="ESTAMPAR",$B$14="LAMINAR ROSCA",$B$14="LAMINAR CANAIS",$B$14="ENDIREITAR",$B$14="CONFORMAR A FRIO",$B$14="FORJAR A QUENTE",$B$14="REPASSAR ROSCA",$B$14="LAMINAR RECARTILHA",$B$14="OLEAR COM ÓLEO PROTETIVO"),"R.I.P.",
                               IF(OR(LEFT($B$14,11)="RECEBIMENTO",$B$14="TRATAMENTO SUPERFICIAL"),"R.I.R.",
                               IF($B$14="","","R.I.F."))),"")</f>
        <v/>
      </c>
      <c r="P50" s="259"/>
      <c r="Q50" s="152" t="str">
        <f>IF(F50&lt;&gt;"","IT 9.4.9.","")</f>
        <v/>
      </c>
    </row>
    <row r="51" spans="1:17" ht="12.6" customHeight="1">
      <c r="A51" s="160"/>
      <c r="B51" s="161"/>
      <c r="C51" s="161"/>
      <c r="D51" s="161"/>
      <c r="E51" s="162"/>
      <c r="F51" s="150"/>
      <c r="G51" s="137"/>
      <c r="H51" s="137"/>
      <c r="I51" s="364"/>
      <c r="J51" s="364"/>
      <c r="K51" s="364"/>
      <c r="L51" s="147"/>
      <c r="M51" s="147"/>
      <c r="N51" s="364"/>
      <c r="O51" s="147"/>
      <c r="P51" s="260"/>
      <c r="Q51" s="153"/>
    </row>
    <row r="52" spans="1:17" ht="12.6" customHeight="1">
      <c r="A52" s="83" t="s">
        <v>43</v>
      </c>
      <c r="B52" s="367" t="s">
        <v>54</v>
      </c>
      <c r="C52" s="368"/>
      <c r="D52" s="368"/>
      <c r="E52" s="369"/>
      <c r="F52" s="150" t="str">
        <f>IF(G52&lt;&gt;"",$A$14&amp;"."&amp;(ROW(G52)-12)/2,"")</f>
        <v/>
      </c>
      <c r="G52" s="137" t="str">
        <f>IF(COUNTIF(ETM!D:D,$B$16)&gt;=(ROW(R52)/2-6),INDEX(ETM!E:E,MATCH($B$16,ETM!D:D,0)+(ROW(R52)/2-7)),"")</f>
        <v/>
      </c>
      <c r="H52" s="137"/>
      <c r="I52" s="364"/>
      <c r="J52" s="364"/>
      <c r="K52" s="364"/>
      <c r="L52" s="146" t="str">
        <f>IF(COUNTIF(ETM!D:D,$B$16)&gt;=ROW(L54)/2-7,INDEX(ETM!$D:$J,MATCH($B$16,ETM!$D:$D,0)+ROW(L54)/2-8,6),"")</f>
        <v/>
      </c>
      <c r="M52" s="146" t="str">
        <f>IF(G52&lt;&gt;"",IF(O52="R.I.F.",10,IF(OR(P52="C",P52="E"),4,IF(P52="D",6,2))),"")</f>
        <v/>
      </c>
      <c r="N52" s="364"/>
      <c r="O52" s="146" t="str">
        <f>IF(G52&lt;&gt;"",
                               IF(OR($B$14="ESTAMPAR",$B$14="LAMINAR ROSCA",$B$14="LAMINAR CANAIS",$B$14="ENDIREITAR",$B$14="CONFORMAR A FRIO",$B$14="FORJAR A QUENTE",$B$14="REPASSAR ROSCA",$B$14="LAMINAR RECARTILHA",$B$14="OLEAR COM ÓLEO PROTETIVO"),"R.I.P.",
                               IF(OR(LEFT($B$14,11)="RECEBIMENTO",$B$14="TRATAMENTO SUPERFICIAL"),"R.I.R.",
                               IF($B$14="","","R.I.F."))),"")</f>
        <v/>
      </c>
      <c r="P52" s="259"/>
      <c r="Q52" s="152" t="str">
        <f>IF(F52&lt;&gt;"","IT 9.4.9.","")</f>
        <v/>
      </c>
    </row>
    <row r="53" spans="1:17" ht="12.6" customHeight="1">
      <c r="A53" s="83" t="s">
        <v>55</v>
      </c>
      <c r="B53" s="367" t="s">
        <v>56</v>
      </c>
      <c r="C53" s="368"/>
      <c r="D53" s="368"/>
      <c r="E53" s="369"/>
      <c r="F53" s="150"/>
      <c r="G53" s="137"/>
      <c r="H53" s="137"/>
      <c r="I53" s="364"/>
      <c r="J53" s="364"/>
      <c r="K53" s="364"/>
      <c r="L53" s="147"/>
      <c r="M53" s="147"/>
      <c r="N53" s="364"/>
      <c r="O53" s="147"/>
      <c r="P53" s="260"/>
      <c r="Q53" s="153"/>
    </row>
    <row r="54" spans="1:17" ht="12.6" customHeight="1">
      <c r="A54" s="13" t="s">
        <v>52</v>
      </c>
      <c r="B54" s="290" t="s">
        <v>57</v>
      </c>
      <c r="C54" s="291"/>
      <c r="D54" s="291"/>
      <c r="E54" s="292"/>
      <c r="F54" s="293" t="str">
        <f>IF(G54&lt;&gt;"",$A$14&amp;"."&amp;(ROW(G54)-12)/2,"")</f>
        <v/>
      </c>
      <c r="G54" s="137" t="str">
        <f>IF(COUNTIF(ETM!D:D,$B$16)&gt;=(ROW(R54)/2-6),INDEX(ETM!E:E,MATCH($B$16,ETM!D:D,0)+(ROW(R54)/2-7)),"")</f>
        <v/>
      </c>
      <c r="H54" s="137"/>
      <c r="I54" s="364"/>
      <c r="J54" s="364"/>
      <c r="K54" s="364"/>
      <c r="L54" s="146" t="str">
        <f>IF(COUNTIF(ETM!D:D,$B$16)&gt;=ROW(L56)/2-7,INDEX(ETM!$D:$J,MATCH($B$16,ETM!$D:$D,0)+ROW(L56)/2-8,6),"")</f>
        <v/>
      </c>
      <c r="M54" s="146" t="str">
        <f>IF(G54&lt;&gt;"",IF(O54="R.I.F.",10,IF(OR(P54="C",P54="E"),4,IF(P54="D",6,2))),"")</f>
        <v/>
      </c>
      <c r="N54" s="364"/>
      <c r="O54" s="146" t="str">
        <f>IF(G54&lt;&gt;"",
                               IF(OR($B$14="ESTAMPAR",$B$14="LAMINAR ROSCA",$B$14="LAMINAR CANAIS",$B$14="ENDIREITAR",$B$14="CONFORMAR A FRIO",$B$14="FORJAR A QUENTE",$B$14="REPASSAR ROSCA",$B$14="LAMINAR RECARTILHA",$B$14="OLEAR COM ÓLEO PROTETIVO"),"R.I.P.",
                               IF(OR(LEFT($B$14,11)="RECEBIMENTO",$B$14="TRATAMENTO SUPERFICIAL"),"R.I.R.",
                               IF($B$14="","","R.I.F."))),"")</f>
        <v/>
      </c>
      <c r="P54" s="259"/>
      <c r="Q54" s="152" t="str">
        <f>IF(F54&lt;&gt;"","IT 9.4.9.","")</f>
        <v/>
      </c>
    </row>
    <row r="55" spans="1:17" ht="12.6" customHeight="1" thickBot="1">
      <c r="A55" s="7"/>
      <c r="B55" s="8"/>
      <c r="C55" s="8"/>
      <c r="D55" s="8"/>
      <c r="E55" s="9"/>
      <c r="F55" s="294"/>
      <c r="G55" s="151"/>
      <c r="H55" s="151"/>
      <c r="I55" s="365"/>
      <c r="J55" s="365"/>
      <c r="K55" s="365"/>
      <c r="L55" s="301"/>
      <c r="M55" s="301"/>
      <c r="N55" s="365"/>
      <c r="O55" s="301"/>
      <c r="P55" s="366"/>
      <c r="Q55" s="302"/>
    </row>
  </sheetData>
  <sheetProtection sheet="1" formatCells="0" formatRows="0" insertRows="0" insertHyperlinks="0" deleteRows="0"/>
  <protectedRanges>
    <protectedRange sqref="A20:E45" name="Intervalo2"/>
    <protectedRange sqref="A14:E19 G14:N15 I22:Q55 I16:N21 P14:Q21" name="Intervalo1"/>
    <protectedRange sqref="G16:H55" name="Intervalo1_3_1"/>
    <protectedRange sqref="O14:O21" name="Intervalo1_2"/>
  </protectedRanges>
  <mergeCells count="314">
    <mergeCell ref="B26:C27"/>
    <mergeCell ref="B28:C29"/>
    <mergeCell ref="B30:C31"/>
    <mergeCell ref="M54:M55"/>
    <mergeCell ref="N54:N55"/>
    <mergeCell ref="O54:O55"/>
    <mergeCell ref="P54:P55"/>
    <mergeCell ref="Q54:Q55"/>
    <mergeCell ref="O52:O53"/>
    <mergeCell ref="P52:P53"/>
    <mergeCell ref="Q52:Q53"/>
    <mergeCell ref="B53:E53"/>
    <mergeCell ref="B54:E54"/>
    <mergeCell ref="F54:F55"/>
    <mergeCell ref="G54:H55"/>
    <mergeCell ref="I54:J55"/>
    <mergeCell ref="K54:K55"/>
    <mergeCell ref="L54:L55"/>
    <mergeCell ref="P50:P51"/>
    <mergeCell ref="Q50:Q51"/>
    <mergeCell ref="B52:E52"/>
    <mergeCell ref="F52:F53"/>
    <mergeCell ref="G52:H53"/>
    <mergeCell ref="I52:J53"/>
    <mergeCell ref="K52:K53"/>
    <mergeCell ref="L52:L53"/>
    <mergeCell ref="M52:M53"/>
    <mergeCell ref="N52:N53"/>
    <mergeCell ref="A50:E51"/>
    <mergeCell ref="F50:F51"/>
    <mergeCell ref="G50:H51"/>
    <mergeCell ref="I50:J51"/>
    <mergeCell ref="K50:K51"/>
    <mergeCell ref="L50:L51"/>
    <mergeCell ref="M50:M51"/>
    <mergeCell ref="N50:N51"/>
    <mergeCell ref="O50:O51"/>
    <mergeCell ref="N46:N47"/>
    <mergeCell ref="O46:O47"/>
    <mergeCell ref="P46:P47"/>
    <mergeCell ref="Q46:Q47"/>
    <mergeCell ref="A48:A49"/>
    <mergeCell ref="B48:C49"/>
    <mergeCell ref="D48:E49"/>
    <mergeCell ref="F48:F49"/>
    <mergeCell ref="G48:H49"/>
    <mergeCell ref="I48:J49"/>
    <mergeCell ref="Q48:Q49"/>
    <mergeCell ref="K48:K49"/>
    <mergeCell ref="L48:L49"/>
    <mergeCell ref="M48:M49"/>
    <mergeCell ref="N48:N49"/>
    <mergeCell ref="O48:O49"/>
    <mergeCell ref="P48:P49"/>
    <mergeCell ref="A46:A47"/>
    <mergeCell ref="B46:C47"/>
    <mergeCell ref="D46:E47"/>
    <mergeCell ref="F46:F47"/>
    <mergeCell ref="G46:H47"/>
    <mergeCell ref="I46:J47"/>
    <mergeCell ref="K46:K47"/>
    <mergeCell ref="L46:L47"/>
    <mergeCell ref="M46:M47"/>
    <mergeCell ref="N42:N43"/>
    <mergeCell ref="O42:O43"/>
    <mergeCell ref="P42:P43"/>
    <mergeCell ref="Q42:Q43"/>
    <mergeCell ref="A44:A45"/>
    <mergeCell ref="B44:C45"/>
    <mergeCell ref="D44:E45"/>
    <mergeCell ref="F44:F45"/>
    <mergeCell ref="G44:H45"/>
    <mergeCell ref="I44:J45"/>
    <mergeCell ref="Q44:Q45"/>
    <mergeCell ref="K44:K45"/>
    <mergeCell ref="L44:L45"/>
    <mergeCell ref="M44:M45"/>
    <mergeCell ref="N44:N45"/>
    <mergeCell ref="O44:O45"/>
    <mergeCell ref="P44:P45"/>
    <mergeCell ref="A42:A43"/>
    <mergeCell ref="B42:C43"/>
    <mergeCell ref="D42:E43"/>
    <mergeCell ref="F42:F43"/>
    <mergeCell ref="G42:H43"/>
    <mergeCell ref="I42:J43"/>
    <mergeCell ref="K42:K43"/>
    <mergeCell ref="L42:L43"/>
    <mergeCell ref="M42:M43"/>
    <mergeCell ref="N38:N39"/>
    <mergeCell ref="O38:O39"/>
    <mergeCell ref="P38:P39"/>
    <mergeCell ref="Q38:Q39"/>
    <mergeCell ref="A40:A41"/>
    <mergeCell ref="B40:C41"/>
    <mergeCell ref="D40:E41"/>
    <mergeCell ref="F40:F41"/>
    <mergeCell ref="G40:H41"/>
    <mergeCell ref="I40:J41"/>
    <mergeCell ref="Q40:Q41"/>
    <mergeCell ref="K40:K41"/>
    <mergeCell ref="L40:L41"/>
    <mergeCell ref="M40:M41"/>
    <mergeCell ref="N40:N41"/>
    <mergeCell ref="O40:O41"/>
    <mergeCell ref="P40:P41"/>
    <mergeCell ref="A38:A39"/>
    <mergeCell ref="B38:C39"/>
    <mergeCell ref="D38:E39"/>
    <mergeCell ref="F38:F39"/>
    <mergeCell ref="G38:H39"/>
    <mergeCell ref="I38:J39"/>
    <mergeCell ref="K38:K39"/>
    <mergeCell ref="L38:L39"/>
    <mergeCell ref="M38:M39"/>
    <mergeCell ref="N34:N35"/>
    <mergeCell ref="O34:O35"/>
    <mergeCell ref="P34:P35"/>
    <mergeCell ref="Q34:Q35"/>
    <mergeCell ref="A36:A37"/>
    <mergeCell ref="B36:C37"/>
    <mergeCell ref="D36:E37"/>
    <mergeCell ref="F36:F37"/>
    <mergeCell ref="G36:H37"/>
    <mergeCell ref="I36:J37"/>
    <mergeCell ref="Q36:Q37"/>
    <mergeCell ref="K36:K37"/>
    <mergeCell ref="L36:L37"/>
    <mergeCell ref="M36:M37"/>
    <mergeCell ref="N36:N37"/>
    <mergeCell ref="O36:O37"/>
    <mergeCell ref="P36:P37"/>
    <mergeCell ref="A34:A35"/>
    <mergeCell ref="B34:C35"/>
    <mergeCell ref="D34:E35"/>
    <mergeCell ref="F34:F35"/>
    <mergeCell ref="G34:H35"/>
    <mergeCell ref="I34:J35"/>
    <mergeCell ref="K34:K35"/>
    <mergeCell ref="L34:L35"/>
    <mergeCell ref="M34:M35"/>
    <mergeCell ref="P30:P31"/>
    <mergeCell ref="Q30:Q31"/>
    <mergeCell ref="A32:A33"/>
    <mergeCell ref="B32:C33"/>
    <mergeCell ref="D32:E33"/>
    <mergeCell ref="F32:F33"/>
    <mergeCell ref="G32:H33"/>
    <mergeCell ref="I32:J33"/>
    <mergeCell ref="Q32:Q33"/>
    <mergeCell ref="K32:K33"/>
    <mergeCell ref="L32:L33"/>
    <mergeCell ref="M32:M33"/>
    <mergeCell ref="N32:N33"/>
    <mergeCell ref="O32:O33"/>
    <mergeCell ref="P32:P33"/>
    <mergeCell ref="A30:A31"/>
    <mergeCell ref="D30:E31"/>
    <mergeCell ref="F30:F31"/>
    <mergeCell ref="G30:H31"/>
    <mergeCell ref="I30:J31"/>
    <mergeCell ref="K30:K31"/>
    <mergeCell ref="L30:L31"/>
    <mergeCell ref="M30:M31"/>
    <mergeCell ref="N26:N27"/>
    <mergeCell ref="O26:O27"/>
    <mergeCell ref="P26:P27"/>
    <mergeCell ref="Q26:Q27"/>
    <mergeCell ref="A28:A29"/>
    <mergeCell ref="D28:E29"/>
    <mergeCell ref="F28:F29"/>
    <mergeCell ref="G28:H29"/>
    <mergeCell ref="I28:J29"/>
    <mergeCell ref="Q28:Q29"/>
    <mergeCell ref="K28:K29"/>
    <mergeCell ref="L28:L29"/>
    <mergeCell ref="M28:M29"/>
    <mergeCell ref="N28:N29"/>
    <mergeCell ref="O28:O29"/>
    <mergeCell ref="P28:P29"/>
    <mergeCell ref="A26:A27"/>
    <mergeCell ref="D26:E27"/>
    <mergeCell ref="F26:F27"/>
    <mergeCell ref="G26:H27"/>
    <mergeCell ref="N30:N31"/>
    <mergeCell ref="O30:O31"/>
    <mergeCell ref="I26:J27"/>
    <mergeCell ref="K26:K27"/>
    <mergeCell ref="L26:L27"/>
    <mergeCell ref="M26:M27"/>
    <mergeCell ref="N22:N23"/>
    <mergeCell ref="O22:O23"/>
    <mergeCell ref="P22:P23"/>
    <mergeCell ref="Q22:Q23"/>
    <mergeCell ref="A24:A25"/>
    <mergeCell ref="D24:E25"/>
    <mergeCell ref="F24:F25"/>
    <mergeCell ref="G24:H25"/>
    <mergeCell ref="I24:J25"/>
    <mergeCell ref="Q24:Q25"/>
    <mergeCell ref="K24:K25"/>
    <mergeCell ref="L24:L25"/>
    <mergeCell ref="M24:M25"/>
    <mergeCell ref="N24:N25"/>
    <mergeCell ref="O24:O25"/>
    <mergeCell ref="P24:P25"/>
    <mergeCell ref="A22:A23"/>
    <mergeCell ref="D22:E23"/>
    <mergeCell ref="B22:C23"/>
    <mergeCell ref="B24:C25"/>
    <mergeCell ref="F22:F23"/>
    <mergeCell ref="G22:H23"/>
    <mergeCell ref="I22:J23"/>
    <mergeCell ref="K22:K23"/>
    <mergeCell ref="L22:L23"/>
    <mergeCell ref="M22:M23"/>
    <mergeCell ref="D16:E17"/>
    <mergeCell ref="F16:F17"/>
    <mergeCell ref="G16:H17"/>
    <mergeCell ref="I16:J17"/>
    <mergeCell ref="N18:N19"/>
    <mergeCell ref="O18:O19"/>
    <mergeCell ref="P18:P19"/>
    <mergeCell ref="Q18:Q19"/>
    <mergeCell ref="A20:A21"/>
    <mergeCell ref="B20:C21"/>
    <mergeCell ref="D20:E21"/>
    <mergeCell ref="F20:F21"/>
    <mergeCell ref="G20:H21"/>
    <mergeCell ref="I20:J21"/>
    <mergeCell ref="Q20:Q21"/>
    <mergeCell ref="K20:K21"/>
    <mergeCell ref="L20:L21"/>
    <mergeCell ref="M20:M21"/>
    <mergeCell ref="N20:N21"/>
    <mergeCell ref="O20:O21"/>
    <mergeCell ref="P20:P21"/>
    <mergeCell ref="P14:P15"/>
    <mergeCell ref="Q14:Q15"/>
    <mergeCell ref="Q12:Q13"/>
    <mergeCell ref="G13:H13"/>
    <mergeCell ref="I13:J13"/>
    <mergeCell ref="P12:P13"/>
    <mergeCell ref="Q16:Q17"/>
    <mergeCell ref="A18:A19"/>
    <mergeCell ref="B18:C19"/>
    <mergeCell ref="D18:E19"/>
    <mergeCell ref="F18:F19"/>
    <mergeCell ref="G18:H19"/>
    <mergeCell ref="I18:J19"/>
    <mergeCell ref="K18:K19"/>
    <mergeCell ref="L18:L19"/>
    <mergeCell ref="M18:M19"/>
    <mergeCell ref="K16:K17"/>
    <mergeCell ref="L16:L17"/>
    <mergeCell ref="M16:M17"/>
    <mergeCell ref="N16:N17"/>
    <mergeCell ref="O16:O17"/>
    <mergeCell ref="P16:P17"/>
    <mergeCell ref="A16:A17"/>
    <mergeCell ref="B16:C17"/>
    <mergeCell ref="A14:A15"/>
    <mergeCell ref="B14:C15"/>
    <mergeCell ref="D14:E15"/>
    <mergeCell ref="F14:F15"/>
    <mergeCell ref="G14:H15"/>
    <mergeCell ref="I14:J15"/>
    <mergeCell ref="K14:K15"/>
    <mergeCell ref="A12:A13"/>
    <mergeCell ref="B12:C13"/>
    <mergeCell ref="D12:E13"/>
    <mergeCell ref="F12:J12"/>
    <mergeCell ref="K12:O12"/>
    <mergeCell ref="L14:L15"/>
    <mergeCell ref="M14:M15"/>
    <mergeCell ref="N14:N15"/>
    <mergeCell ref="O14:O15"/>
    <mergeCell ref="A1:Q2"/>
    <mergeCell ref="A3:B3"/>
    <mergeCell ref="D3:F3"/>
    <mergeCell ref="G3:H3"/>
    <mergeCell ref="A4:B4"/>
    <mergeCell ref="D4:F4"/>
    <mergeCell ref="G4:H4"/>
    <mergeCell ref="I3:I4"/>
    <mergeCell ref="J3:K4"/>
    <mergeCell ref="L3:L4"/>
    <mergeCell ref="M3:N4"/>
    <mergeCell ref="O3:O4"/>
    <mergeCell ref="P3:P4"/>
    <mergeCell ref="A5:B5"/>
    <mergeCell ref="C5:H5"/>
    <mergeCell ref="I5:L5"/>
    <mergeCell ref="M5:P5"/>
    <mergeCell ref="A6:B6"/>
    <mergeCell ref="C6:H6"/>
    <mergeCell ref="I6:L6"/>
    <mergeCell ref="M6:P6"/>
    <mergeCell ref="A11:B11"/>
    <mergeCell ref="D11:E11"/>
    <mergeCell ref="F11:G11"/>
    <mergeCell ref="H11:J11"/>
    <mergeCell ref="K11:L11"/>
    <mergeCell ref="M11:O11"/>
    <mergeCell ref="A7:P7"/>
    <mergeCell ref="A8:P8"/>
    <mergeCell ref="A9:G9"/>
    <mergeCell ref="H9:Q9"/>
    <mergeCell ref="A10:B10"/>
    <mergeCell ref="D10:E10"/>
    <mergeCell ref="F10:G10"/>
    <mergeCell ref="H10:J10"/>
    <mergeCell ref="K10:L10"/>
    <mergeCell ref="M10:O10"/>
  </mergeCells>
  <conditionalFormatting sqref="D4:F4">
    <cfRule type="cellIs" dxfId="27" priority="5" stopIfTrue="1" operator="equal">
      <formula>0</formula>
    </cfRule>
  </conditionalFormatting>
  <conditionalFormatting sqref="A14:A15">
    <cfRule type="expression" dxfId="26" priority="1">
      <formula>$A$14=""</formula>
    </cfRule>
  </conditionalFormatting>
  <pageMargins left="0.39370078740157483" right="0.19685039370078741" top="0.23622047244094488" bottom="0.15748031496062992" header="0.43307086614173229" footer="0.15748031496062992"/>
  <pageSetup paperSize="9" scale="64" fitToHeight="0" orientation="landscape" r:id="rId1"/>
  <headerFooter alignWithMargins="0">
    <oddFooter>&amp;LForm152- Rev 05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DADOS!$A$2:$A$4</xm:f>
          </x14:formula1>
          <xm:sqref>P14:P55</xm:sqref>
        </x14:dataValidation>
        <x14:dataValidation type="list" showInputMessage="1" showErrorMessage="1">
          <x14:formula1>
            <xm:f>OFFSET(DADOS!$B$1,1,,COUNTA(DADOS!$B:$B)-1)</xm:f>
          </x14:formula1>
          <xm:sqref>B14:C15</xm:sqref>
        </x14:dataValidation>
        <x14:dataValidation type="list" allowBlank="1" showInputMessage="1" showErrorMessage="1">
          <x14:formula1>
            <xm:f>OFFSET(DADOS!$E$1,1,,COUNTA(DADOS!$E:$E)-1)</xm:f>
          </x14:formula1>
          <xm:sqref>B16:C17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>
    <tabColor theme="3" tint="0.79998168889431442"/>
    <pageSetUpPr fitToPage="1"/>
  </sheetPr>
  <dimension ref="A1:Q65"/>
  <sheetViews>
    <sheetView showGridLines="0" view="pageBreakPreview" topLeftCell="A4" zoomScale="85" zoomScaleNormal="90" zoomScaleSheetLayoutView="85" workbookViewId="0">
      <selection activeCell="A14" sqref="A14:A15"/>
    </sheetView>
  </sheetViews>
  <sheetFormatPr defaultRowHeight="12.75"/>
  <cols>
    <col min="1" max="1" width="14.42578125" style="25" customWidth="1"/>
    <col min="2" max="2" width="11.7109375" style="25" customWidth="1"/>
    <col min="3" max="3" width="12.140625" style="25" customWidth="1"/>
    <col min="4" max="4" width="9.28515625" style="25" customWidth="1"/>
    <col min="5" max="5" width="7.7109375" style="25" customWidth="1"/>
    <col min="6" max="6" width="6.140625" style="25" customWidth="1"/>
    <col min="7" max="7" width="8.5703125" style="25" customWidth="1"/>
    <col min="8" max="8" width="11.42578125" style="25" customWidth="1"/>
    <col min="9" max="9" width="9.140625" style="25"/>
    <col min="10" max="10" width="7" style="25" customWidth="1"/>
    <col min="11" max="11" width="20" style="25" customWidth="1"/>
    <col min="12" max="12" width="18.28515625" style="25" customWidth="1"/>
    <col min="13" max="13" width="9" style="25" customWidth="1"/>
    <col min="14" max="14" width="18" style="25" customWidth="1"/>
    <col min="15" max="15" width="11.140625" style="25" customWidth="1"/>
    <col min="16" max="16" width="14.85546875" style="25" customWidth="1"/>
    <col min="17" max="17" width="15.42578125" style="25" customWidth="1"/>
    <col min="18" max="16384" width="9.140625" style="25"/>
  </cols>
  <sheetData>
    <row r="1" spans="1:17" ht="12.75" customHeight="1">
      <c r="A1" s="212" t="s">
        <v>0</v>
      </c>
      <c r="B1" s="213"/>
      <c r="C1" s="213"/>
      <c r="D1" s="213"/>
      <c r="E1" s="213"/>
      <c r="F1" s="213"/>
      <c r="G1" s="213"/>
      <c r="H1" s="213"/>
      <c r="I1" s="213"/>
      <c r="J1" s="213"/>
      <c r="K1" s="213"/>
      <c r="L1" s="213"/>
      <c r="M1" s="213"/>
      <c r="N1" s="213"/>
      <c r="O1" s="213"/>
      <c r="P1" s="213"/>
      <c r="Q1" s="214"/>
    </row>
    <row r="2" spans="1:17" ht="13.5" customHeight="1" thickBot="1">
      <c r="A2" s="215"/>
      <c r="B2" s="216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7"/>
    </row>
    <row r="3" spans="1:17" ht="12.75" customHeight="1">
      <c r="A3" s="218" t="s">
        <v>1</v>
      </c>
      <c r="B3" s="219"/>
      <c r="C3" s="3" t="s">
        <v>34</v>
      </c>
      <c r="D3" s="220" t="s">
        <v>2</v>
      </c>
      <c r="E3" s="220"/>
      <c r="F3" s="220"/>
      <c r="G3" s="221" t="s">
        <v>33</v>
      </c>
      <c r="H3" s="222"/>
      <c r="I3" s="262" t="str">
        <f>IF('MATERIA PRIMA'!I3:I4="","",'MATERIA PRIMA'!I3:I4)</f>
        <v/>
      </c>
      <c r="J3" s="244" t="s">
        <v>708</v>
      </c>
      <c r="K3" s="244"/>
      <c r="L3" s="271" t="str">
        <f>IF('MATERIA PRIMA'!L3:L4="","",'MATERIA PRIMA'!L3:L4)</f>
        <v/>
      </c>
      <c r="M3" s="248" t="s">
        <v>710</v>
      </c>
      <c r="N3" s="248"/>
      <c r="O3" s="271" t="str">
        <f>IF('MATERIA PRIMA'!O3:O4="","",'MATERIA PRIMA'!O3:O4)</f>
        <v>X</v>
      </c>
      <c r="P3" s="250" t="s">
        <v>22</v>
      </c>
      <c r="Q3" s="26" t="s">
        <v>4</v>
      </c>
    </row>
    <row r="4" spans="1:17" ht="12.75" customHeight="1">
      <c r="A4" s="277" t="str">
        <f>IF('MATERIA PRIMA'!A4:B4="","",'MATERIA PRIMA'!A4:B4)</f>
        <v/>
      </c>
      <c r="B4" s="278"/>
      <c r="C4" s="27" t="str">
        <f>IF('MATERIA PRIMA'!C4="","",'MATERIA PRIMA'!C4)</f>
        <v/>
      </c>
      <c r="D4" s="279" t="str">
        <f>IF('MATERIA PRIMA'!D4:F4="","",'MATERIA PRIMA'!D4:F4)</f>
        <v/>
      </c>
      <c r="E4" s="280"/>
      <c r="F4" s="280"/>
      <c r="G4" s="239" t="str">
        <f>IF('MATERIA PRIMA'!G4:H4="","",'MATERIA PRIMA'!G4:H4)</f>
        <v/>
      </c>
      <c r="H4" s="241"/>
      <c r="I4" s="263"/>
      <c r="J4" s="245"/>
      <c r="K4" s="245"/>
      <c r="L4" s="272"/>
      <c r="M4" s="249"/>
      <c r="N4" s="249"/>
      <c r="O4" s="272"/>
      <c r="P4" s="251"/>
      <c r="Q4" s="56">
        <f ca="1">_xlfn.SHEET()</f>
        <v>5</v>
      </c>
    </row>
    <row r="5" spans="1:17">
      <c r="A5" s="228" t="s">
        <v>21</v>
      </c>
      <c r="B5" s="229"/>
      <c r="C5" s="227" t="s">
        <v>3</v>
      </c>
      <c r="D5" s="191"/>
      <c r="E5" s="191"/>
      <c r="F5" s="191"/>
      <c r="G5" s="191"/>
      <c r="H5" s="192"/>
      <c r="I5" s="227" t="s">
        <v>5</v>
      </c>
      <c r="J5" s="191"/>
      <c r="K5" s="191"/>
      <c r="L5" s="192"/>
      <c r="M5" s="227" t="s">
        <v>29</v>
      </c>
      <c r="N5" s="191"/>
      <c r="O5" s="191"/>
      <c r="P5" s="192"/>
      <c r="Q5" s="28" t="s">
        <v>7</v>
      </c>
    </row>
    <row r="6" spans="1:17" ht="13.5" customHeight="1">
      <c r="A6" s="273" t="str">
        <f>IF('MATERIA PRIMA'!A6:B6="","",'MATERIA PRIMA'!A6:B6)</f>
        <v/>
      </c>
      <c r="B6" s="274"/>
      <c r="C6" s="275" t="str">
        <f>IF('MATERIA PRIMA'!C6:H6="","",'MATERIA PRIMA'!C6:H6)</f>
        <v/>
      </c>
      <c r="D6" s="276"/>
      <c r="E6" s="276"/>
      <c r="F6" s="276"/>
      <c r="G6" s="276"/>
      <c r="H6" s="274"/>
      <c r="I6" s="239" t="s">
        <v>6</v>
      </c>
      <c r="J6" s="240"/>
      <c r="K6" s="240"/>
      <c r="L6" s="241"/>
      <c r="M6" s="275" t="str">
        <f>IF('MATERIA PRIMA'!M6:P6="","",'MATERIA PRIMA'!M6:P6)</f>
        <v/>
      </c>
      <c r="N6" s="276"/>
      <c r="O6" s="276"/>
      <c r="P6" s="274"/>
      <c r="Q6" s="57"/>
    </row>
    <row r="7" spans="1:17">
      <c r="A7" s="190" t="s">
        <v>28</v>
      </c>
      <c r="B7" s="191"/>
      <c r="C7" s="191"/>
      <c r="D7" s="191"/>
      <c r="E7" s="191"/>
      <c r="F7" s="191"/>
      <c r="G7" s="191"/>
      <c r="H7" s="191"/>
      <c r="I7" s="191"/>
      <c r="J7" s="191"/>
      <c r="K7" s="191"/>
      <c r="L7" s="191"/>
      <c r="M7" s="191"/>
      <c r="N7" s="191"/>
      <c r="O7" s="191"/>
      <c r="P7" s="192"/>
      <c r="Q7" s="28" t="s">
        <v>8</v>
      </c>
    </row>
    <row r="8" spans="1:17">
      <c r="A8" s="266" t="str">
        <f>IF('MATERIA PRIMA'!A8:P8="","",'MATERIA PRIMA'!A8:P8)</f>
        <v/>
      </c>
      <c r="B8" s="267"/>
      <c r="C8" s="267"/>
      <c r="D8" s="267"/>
      <c r="E8" s="267"/>
      <c r="F8" s="267"/>
      <c r="G8" s="267"/>
      <c r="H8" s="267"/>
      <c r="I8" s="267"/>
      <c r="J8" s="267"/>
      <c r="K8" s="267"/>
      <c r="L8" s="267"/>
      <c r="M8" s="267"/>
      <c r="N8" s="267"/>
      <c r="O8" s="267"/>
      <c r="P8" s="268"/>
      <c r="Q8" s="57"/>
    </row>
    <row r="9" spans="1:17" ht="14.25" customHeight="1">
      <c r="A9" s="208" t="s">
        <v>9</v>
      </c>
      <c r="B9" s="223"/>
      <c r="C9" s="223"/>
      <c r="D9" s="223"/>
      <c r="E9" s="223"/>
      <c r="F9" s="223"/>
      <c r="G9" s="186"/>
      <c r="H9" s="224" t="s">
        <v>26</v>
      </c>
      <c r="I9" s="225"/>
      <c r="J9" s="225"/>
      <c r="K9" s="225"/>
      <c r="L9" s="225"/>
      <c r="M9" s="225"/>
      <c r="N9" s="225"/>
      <c r="O9" s="225"/>
      <c r="P9" s="225"/>
      <c r="Q9" s="226"/>
    </row>
    <row r="10" spans="1:17">
      <c r="A10" s="208" t="s">
        <v>10</v>
      </c>
      <c r="B10" s="186"/>
      <c r="C10" s="36" t="s">
        <v>11</v>
      </c>
      <c r="D10" s="185" t="s">
        <v>12</v>
      </c>
      <c r="E10" s="186"/>
      <c r="F10" s="185" t="s">
        <v>11</v>
      </c>
      <c r="G10" s="186"/>
      <c r="H10" s="196"/>
      <c r="I10" s="197"/>
      <c r="J10" s="198"/>
      <c r="K10" s="185" t="s">
        <v>11</v>
      </c>
      <c r="L10" s="186"/>
      <c r="M10" s="187"/>
      <c r="N10" s="188"/>
      <c r="O10" s="189"/>
      <c r="P10" s="46"/>
      <c r="Q10" s="2" t="s">
        <v>11</v>
      </c>
    </row>
    <row r="11" spans="1:17" ht="13.5" thickBot="1">
      <c r="A11" s="202"/>
      <c r="B11" s="203"/>
      <c r="C11" s="60"/>
      <c r="D11" s="204"/>
      <c r="E11" s="203"/>
      <c r="F11" s="204"/>
      <c r="G11" s="203"/>
      <c r="H11" s="209"/>
      <c r="I11" s="210"/>
      <c r="J11" s="211"/>
      <c r="K11" s="204"/>
      <c r="L11" s="203"/>
      <c r="M11" s="205"/>
      <c r="N11" s="206"/>
      <c r="O11" s="207"/>
      <c r="P11" s="61"/>
      <c r="Q11" s="62"/>
    </row>
    <row r="12" spans="1:17">
      <c r="A12" s="282" t="s">
        <v>31</v>
      </c>
      <c r="B12" s="284" t="s">
        <v>15</v>
      </c>
      <c r="C12" s="285"/>
      <c r="D12" s="284" t="s">
        <v>16</v>
      </c>
      <c r="E12" s="285"/>
      <c r="F12" s="258" t="s">
        <v>20</v>
      </c>
      <c r="G12" s="258"/>
      <c r="H12" s="258"/>
      <c r="I12" s="258"/>
      <c r="J12" s="258"/>
      <c r="K12" s="289" t="s">
        <v>23</v>
      </c>
      <c r="L12" s="289"/>
      <c r="M12" s="289"/>
      <c r="N12" s="289"/>
      <c r="O12" s="289"/>
      <c r="P12" s="269" t="s">
        <v>711</v>
      </c>
      <c r="Q12" s="264" t="s">
        <v>13</v>
      </c>
    </row>
    <row r="13" spans="1:17" ht="22.5">
      <c r="A13" s="283"/>
      <c r="B13" s="286"/>
      <c r="C13" s="287"/>
      <c r="D13" s="286"/>
      <c r="E13" s="287"/>
      <c r="F13" s="81" t="s">
        <v>17</v>
      </c>
      <c r="G13" s="281" t="s">
        <v>750</v>
      </c>
      <c r="H13" s="281"/>
      <c r="I13" s="281" t="s">
        <v>19</v>
      </c>
      <c r="J13" s="281"/>
      <c r="K13" s="29" t="s">
        <v>25</v>
      </c>
      <c r="L13" s="29" t="s">
        <v>30</v>
      </c>
      <c r="M13" s="29" t="s">
        <v>24</v>
      </c>
      <c r="N13" s="29" t="s">
        <v>27</v>
      </c>
      <c r="O13" s="29" t="s">
        <v>14</v>
      </c>
      <c r="P13" s="270"/>
      <c r="Q13" s="265"/>
    </row>
    <row r="14" spans="1:17">
      <c r="A14" s="136"/>
      <c r="B14" s="137" t="s">
        <v>730</v>
      </c>
      <c r="C14" s="137"/>
      <c r="D14" s="138" t="s">
        <v>763</v>
      </c>
      <c r="E14" s="139"/>
      <c r="F14" s="150" t="str">
        <f>IF(OR(G14&lt;&gt;"",I14&lt;&gt;""),$A$14&amp;"."&amp;(ROW(G14)-12)/2,"")</f>
        <v/>
      </c>
      <c r="G14" s="288"/>
      <c r="H14" s="288"/>
      <c r="I14" s="137"/>
      <c r="J14" s="137"/>
      <c r="K14" s="146"/>
      <c r="L14" s="146"/>
      <c r="M14" s="146" t="str">
        <f>IF(F14&lt;&gt;"",IF(O14="R.I.F.",10,
                          IF(OR(RIGHT($B$14,4)="100%",$B$14="OLEAR COM ÓLEO PROTETIVO",$B$14="MAGNAFLUX",$B$14="DESEMPENAR"),"100%",
                          IF(OR(P14="C",P14="E"),4,IF(P14="D",6,2)))),"")</f>
        <v/>
      </c>
      <c r="N14" s="146" t="str">
        <f>IF(G14&lt;&gt;"","LOTE","")</f>
        <v/>
      </c>
      <c r="O14" s="146" t="str">
        <f>IF(F14&lt;&gt;"",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100%",$B$14="SELECÃO VISUAL 100%",$B$14="SELEÇÃO AUTOMÁTICA 100%"),"R.I.","R.I.F."))),"")</f>
        <v/>
      </c>
      <c r="P14" s="259"/>
      <c r="Q14" s="152" t="str">
        <f>IF(F14&lt;&gt;"","IT 9.4.9.","")</f>
        <v/>
      </c>
    </row>
    <row r="15" spans="1:17">
      <c r="A15" s="136"/>
      <c r="B15" s="137"/>
      <c r="C15" s="137"/>
      <c r="D15" s="140"/>
      <c r="E15" s="141"/>
      <c r="F15" s="150"/>
      <c r="G15" s="288"/>
      <c r="H15" s="288"/>
      <c r="I15" s="137"/>
      <c r="J15" s="137"/>
      <c r="K15" s="147"/>
      <c r="L15" s="147"/>
      <c r="M15" s="147"/>
      <c r="N15" s="147"/>
      <c r="O15" s="147"/>
      <c r="P15" s="260"/>
      <c r="Q15" s="153"/>
    </row>
    <row r="16" spans="1:17" ht="12.75" customHeight="1">
      <c r="A16" s="136"/>
      <c r="B16" s="137"/>
      <c r="C16" s="137"/>
      <c r="D16" s="137"/>
      <c r="E16" s="137"/>
      <c r="F16" s="150" t="str">
        <f>IF(G16&lt;&gt;"",$A$14&amp;"."&amp;(ROW(G16)-12)/2,"")</f>
        <v/>
      </c>
      <c r="G16" s="137"/>
      <c r="H16" s="137"/>
      <c r="I16" s="137"/>
      <c r="J16" s="137"/>
      <c r="K16" s="146"/>
      <c r="L16" s="146"/>
      <c r="M16" s="146" t="str">
        <f>IF(F16&lt;&gt;"",IF(O16="R.I.F.",10,
                          IF(OR(RIGHT($B$14,4)="100%",$B$14="OLEAR COM ÓLEO PROTETIVO",$B$14="MAGNAFLUX",$B$14="DESEMPENAR"),"100%",
                          IF(OR(P16="C",P16="E"),4,IF(P16="D",6,2)))),"")</f>
        <v/>
      </c>
      <c r="N16" s="146" t="str">
        <f>IF(G16&lt;&gt;"","LOTE","")</f>
        <v/>
      </c>
      <c r="O16" s="146" t="str">
        <f>IF(F16&lt;&gt;"",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100%",$B$14="SELECÃO VISUAL 100%",$B$14="SELEÇÃO AUTOMÁTICA 100%"),"R.I.","R.I.F."))),"")</f>
        <v/>
      </c>
      <c r="P16" s="259"/>
      <c r="Q16" s="152" t="str">
        <f>IF(F16&lt;&gt;"","IT 9.4.9.","")</f>
        <v/>
      </c>
    </row>
    <row r="17" spans="1:17" ht="12.75" customHeight="1">
      <c r="A17" s="136"/>
      <c r="B17" s="137"/>
      <c r="C17" s="137"/>
      <c r="D17" s="137"/>
      <c r="E17" s="137"/>
      <c r="F17" s="150"/>
      <c r="G17" s="137"/>
      <c r="H17" s="137"/>
      <c r="I17" s="137"/>
      <c r="J17" s="137"/>
      <c r="K17" s="147"/>
      <c r="L17" s="147"/>
      <c r="M17" s="147"/>
      <c r="N17" s="147"/>
      <c r="O17" s="147"/>
      <c r="P17" s="260"/>
      <c r="Q17" s="153"/>
    </row>
    <row r="18" spans="1:17" ht="12.75" customHeight="1">
      <c r="A18" s="136"/>
      <c r="B18" s="137"/>
      <c r="C18" s="137"/>
      <c r="D18" s="137"/>
      <c r="E18" s="137"/>
      <c r="F18" s="150" t="str">
        <f>IF(G18&lt;&gt;"",$A$14&amp;"."&amp;(ROW(G18)-12)/2,"")</f>
        <v/>
      </c>
      <c r="G18" s="137"/>
      <c r="H18" s="137"/>
      <c r="I18" s="137"/>
      <c r="J18" s="137"/>
      <c r="K18" s="146"/>
      <c r="L18" s="146"/>
      <c r="M18" s="146" t="str">
        <f>IF(F18&lt;&gt;"",IF(O18="R.I.F.",10,
                          IF(OR(RIGHT($B$14,4)="100%",$B$14="OLEAR COM ÓLEO PROTETIVO",$B$14="MAGNAFLUX",$B$14="DESEMPENAR"),"100%",
                          IF(OR(P18="C",P18="E"),4,IF(P18="D",6,2)))),"")</f>
        <v/>
      </c>
      <c r="N18" s="146" t="str">
        <f>IF(G18&lt;&gt;"","LOTE","")</f>
        <v/>
      </c>
      <c r="O18" s="146" t="str">
        <f>IF(F18&lt;&gt;"",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100%",$B$14="SELECÃO VISUAL 100%",$B$14="SELEÇÃO AUTOMÁTICA 100%"),"R.I.","R.I.F."))),"")</f>
        <v/>
      </c>
      <c r="P18" s="259"/>
      <c r="Q18" s="152" t="str">
        <f>IF(F18&lt;&gt;"","IT 9.4.9.","")</f>
        <v/>
      </c>
    </row>
    <row r="19" spans="1:17" ht="12.75" customHeight="1">
      <c r="A19" s="136"/>
      <c r="B19" s="137"/>
      <c r="C19" s="137"/>
      <c r="D19" s="137"/>
      <c r="E19" s="137"/>
      <c r="F19" s="150"/>
      <c r="G19" s="137"/>
      <c r="H19" s="137"/>
      <c r="I19" s="137"/>
      <c r="J19" s="137"/>
      <c r="K19" s="147"/>
      <c r="L19" s="147"/>
      <c r="M19" s="147"/>
      <c r="N19" s="147"/>
      <c r="O19" s="147"/>
      <c r="P19" s="260"/>
      <c r="Q19" s="153"/>
    </row>
    <row r="20" spans="1:17" ht="12.75" customHeight="1">
      <c r="A20" s="163"/>
      <c r="B20" s="138"/>
      <c r="C20" s="139"/>
      <c r="D20" s="138"/>
      <c r="E20" s="139"/>
      <c r="F20" s="150" t="str">
        <f>IF(G20&lt;&gt;"",$A$14&amp;"."&amp;(ROW(G20)-12)/2,"")</f>
        <v/>
      </c>
      <c r="G20" s="137"/>
      <c r="H20" s="137"/>
      <c r="I20" s="137"/>
      <c r="J20" s="137"/>
      <c r="K20" s="146"/>
      <c r="L20" s="146"/>
      <c r="M20" s="146" t="str">
        <f>IF(F20&lt;&gt;"",IF(O20="R.I.F.",10,
                          IF(OR(RIGHT($B$14,4)="100%",$B$14="OLEAR COM ÓLEO PROTETIVO",$B$14="MAGNAFLUX",$B$14="DESEMPENAR"),"100%",
                          IF(OR(P20="C",P20="E"),4,IF(P20="D",6,2)))),"")</f>
        <v/>
      </c>
      <c r="N20" s="146" t="str">
        <f>IF(G20&lt;&gt;"","LOTE","")</f>
        <v/>
      </c>
      <c r="O20" s="146" t="str">
        <f>IF(F20&lt;&gt;"",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100%",$B$14="SELECÃO VISUAL 100%",$B$14="SELEÇÃO AUTOMÁTICA 100%"),"R.I.","R.I.F."))),"")</f>
        <v/>
      </c>
      <c r="P20" s="259"/>
      <c r="Q20" s="152" t="str">
        <f>IF(F20&lt;&gt;"","IT 9.4.9.","")</f>
        <v/>
      </c>
    </row>
    <row r="21" spans="1:17" ht="12.75" customHeight="1">
      <c r="A21" s="261"/>
      <c r="B21" s="140"/>
      <c r="C21" s="141"/>
      <c r="D21" s="140"/>
      <c r="E21" s="141"/>
      <c r="F21" s="150"/>
      <c r="G21" s="137"/>
      <c r="H21" s="137"/>
      <c r="I21" s="137"/>
      <c r="J21" s="137"/>
      <c r="K21" s="147"/>
      <c r="L21" s="147"/>
      <c r="M21" s="147"/>
      <c r="N21" s="147"/>
      <c r="O21" s="147"/>
      <c r="P21" s="260"/>
      <c r="Q21" s="153"/>
    </row>
    <row r="22" spans="1:17" ht="12.75" customHeight="1">
      <c r="A22" s="136"/>
      <c r="B22" s="138"/>
      <c r="C22" s="139"/>
      <c r="D22" s="137"/>
      <c r="E22" s="137"/>
      <c r="F22" s="150" t="str">
        <f>IF(G22&lt;&gt;"",$A$14&amp;"."&amp;(ROW(G22)-12)/2,"")</f>
        <v/>
      </c>
      <c r="G22" s="137"/>
      <c r="H22" s="137"/>
      <c r="I22" s="137"/>
      <c r="J22" s="137"/>
      <c r="K22" s="137"/>
      <c r="L22" s="146"/>
      <c r="M22" s="146" t="str">
        <f>IF(F22&lt;&gt;"",IF(O22="R.I.F.",10,
                          IF(OR(RIGHT($B$14,4)="100%",$B$14="OLEAR COM ÓLEO PROTETIVO",$B$14="MAGNAFLUX",$B$14="DESEMPENAR"),"100%",
                          IF(OR(P22="C",P22="E"),4,IF(P22="D",6,2)))),"")</f>
        <v/>
      </c>
      <c r="N22" s="146" t="str">
        <f>IF(G22&lt;&gt;"","LOTE","")</f>
        <v/>
      </c>
      <c r="O22" s="146" t="str">
        <f>IF(F22&lt;&gt;"",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100%",$B$14="SELECÃO VISUAL 100%",$B$14="SELEÇÃO AUTOMÁTICA 100%"),"R.I.","R.I.F."))),"")</f>
        <v/>
      </c>
      <c r="P22" s="259"/>
      <c r="Q22" s="152" t="str">
        <f>IF(F22&lt;&gt;"","IT 9.4.9.","")</f>
        <v/>
      </c>
    </row>
    <row r="23" spans="1:17" ht="12.75" customHeight="1">
      <c r="A23" s="136"/>
      <c r="B23" s="140"/>
      <c r="C23" s="141"/>
      <c r="D23" s="137"/>
      <c r="E23" s="137"/>
      <c r="F23" s="150"/>
      <c r="G23" s="146"/>
      <c r="H23" s="146"/>
      <c r="I23" s="146"/>
      <c r="J23" s="146"/>
      <c r="K23" s="146"/>
      <c r="L23" s="147"/>
      <c r="M23" s="147"/>
      <c r="N23" s="147"/>
      <c r="O23" s="147"/>
      <c r="P23" s="260"/>
      <c r="Q23" s="153"/>
    </row>
    <row r="24" spans="1:17" ht="12.75" customHeight="1">
      <c r="A24" s="136"/>
      <c r="B24" s="138"/>
      <c r="C24" s="139"/>
      <c r="D24" s="137"/>
      <c r="E24" s="137"/>
      <c r="F24" s="150" t="str">
        <f>IF(G24&lt;&gt;"",$A$14&amp;"."&amp;(ROW(G24)-12)/2,"")</f>
        <v/>
      </c>
      <c r="G24" s="137"/>
      <c r="H24" s="137"/>
      <c r="I24" s="137"/>
      <c r="J24" s="137"/>
      <c r="K24" s="137"/>
      <c r="L24" s="146"/>
      <c r="M24" s="146" t="str">
        <f>IF(F24&lt;&gt;"",IF(O24="R.I.F.",10,
                          IF(OR(RIGHT($B$14,4)="100%",$B$14="OLEAR COM ÓLEO PROTETIVO",$B$14="MAGNAFLUX",$B$14="DESEMPENAR"),"100%",
                          IF(OR(P24="C",P24="E"),4,IF(P24="D",6,2)))),"")</f>
        <v/>
      </c>
      <c r="N24" s="146" t="str">
        <f>IF(G24&lt;&gt;"","LOTE","")</f>
        <v/>
      </c>
      <c r="O24" s="146" t="str">
        <f>IF(F24&lt;&gt;"",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100%",$B$14="SELECÃO VISUAL 100%",$B$14="SELEÇÃO AUTOMÁTICA 100%"),"R.I.","R.I.F."))),"")</f>
        <v/>
      </c>
      <c r="P24" s="259"/>
      <c r="Q24" s="152" t="str">
        <f>IF(F24&lt;&gt;"","IT 9.4.9.","")</f>
        <v/>
      </c>
    </row>
    <row r="25" spans="1:17" ht="12.75" customHeight="1">
      <c r="A25" s="136"/>
      <c r="B25" s="140"/>
      <c r="C25" s="141"/>
      <c r="D25" s="137"/>
      <c r="E25" s="137"/>
      <c r="F25" s="150"/>
      <c r="G25" s="146"/>
      <c r="H25" s="146"/>
      <c r="I25" s="146"/>
      <c r="J25" s="146"/>
      <c r="K25" s="146"/>
      <c r="L25" s="147"/>
      <c r="M25" s="147"/>
      <c r="N25" s="147"/>
      <c r="O25" s="147"/>
      <c r="P25" s="260"/>
      <c r="Q25" s="153"/>
    </row>
    <row r="26" spans="1:17" ht="12.75" customHeight="1">
      <c r="A26" s="136"/>
      <c r="B26" s="138"/>
      <c r="C26" s="139"/>
      <c r="D26" s="137"/>
      <c r="E26" s="137"/>
      <c r="F26" s="150" t="str">
        <f>IF(G26&lt;&gt;"",$A$14&amp;"."&amp;(ROW(G26)-12)/2,"")</f>
        <v/>
      </c>
      <c r="G26" s="137"/>
      <c r="H26" s="137"/>
      <c r="I26" s="137"/>
      <c r="J26" s="137"/>
      <c r="K26" s="137"/>
      <c r="L26" s="146"/>
      <c r="M26" s="146" t="str">
        <f>IF(F26&lt;&gt;"",IF(O26="R.I.F.",10,
                          IF(OR(RIGHT($B$14,4)="100%",$B$14="OLEAR COM ÓLEO PROTETIVO",$B$14="MAGNAFLUX",$B$14="DESEMPENAR"),"100%",
                          IF(OR(P26="C",P26="E"),4,IF(P26="D",6,2)))),"")</f>
        <v/>
      </c>
      <c r="N26" s="146" t="str">
        <f>IF(G26&lt;&gt;"","LOTE","")</f>
        <v/>
      </c>
      <c r="O26" s="146" t="str">
        <f>IF(F26&lt;&gt;"",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100%",$B$14="SELECÃO VISUAL 100%",$B$14="SELEÇÃO AUTOMÁTICA 100%"),"R.I.","R.I.F."))),"")</f>
        <v/>
      </c>
      <c r="P26" s="259"/>
      <c r="Q26" s="152" t="str">
        <f>IF(F26&lt;&gt;"","IT 9.4.9.","")</f>
        <v/>
      </c>
    </row>
    <row r="27" spans="1:17" ht="12.75" customHeight="1">
      <c r="A27" s="136"/>
      <c r="B27" s="140"/>
      <c r="C27" s="141"/>
      <c r="D27" s="137"/>
      <c r="E27" s="137"/>
      <c r="F27" s="150"/>
      <c r="G27" s="146"/>
      <c r="H27" s="146"/>
      <c r="I27" s="146"/>
      <c r="J27" s="146"/>
      <c r="K27" s="146"/>
      <c r="L27" s="147"/>
      <c r="M27" s="147"/>
      <c r="N27" s="147"/>
      <c r="O27" s="147"/>
      <c r="P27" s="260"/>
      <c r="Q27" s="153"/>
    </row>
    <row r="28" spans="1:17" ht="12.75" customHeight="1">
      <c r="A28" s="136"/>
      <c r="B28" s="138"/>
      <c r="C28" s="139"/>
      <c r="D28" s="137"/>
      <c r="E28" s="137"/>
      <c r="F28" s="150" t="str">
        <f>IF(G28&lt;&gt;"",$A$14&amp;"."&amp;(ROW(G28)-12)/2,"")</f>
        <v/>
      </c>
      <c r="G28" s="138"/>
      <c r="H28" s="139"/>
      <c r="I28" s="137"/>
      <c r="J28" s="137"/>
      <c r="K28" s="146"/>
      <c r="L28" s="146"/>
      <c r="M28" s="146" t="str">
        <f>IF(F28&lt;&gt;"",IF(O28="R.I.F.",10,
                          IF(OR(RIGHT($B$14,4)="100%",$B$14="OLEAR COM ÓLEO PROTETIVO",$B$14="MAGNAFLUX",$B$14="DESEMPENAR"),"100%",
                          IF(OR(P28="C",P28="E"),4,IF(P28="D",6,2)))),"")</f>
        <v/>
      </c>
      <c r="N28" s="146" t="str">
        <f>IF(G28&lt;&gt;"","LOTE","")</f>
        <v/>
      </c>
      <c r="O28" s="146" t="str">
        <f>IF(F28&lt;&gt;"",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100%",$B$14="SELECÃO VISUAL 100%",$B$14="SELEÇÃO AUTOMÁTICA 100%"),"R.I.","R.I.F."))),"")</f>
        <v/>
      </c>
      <c r="P28" s="259"/>
      <c r="Q28" s="152" t="str">
        <f>IF(F28&lt;&gt;"","IT 9.4.9.","")</f>
        <v/>
      </c>
    </row>
    <row r="29" spans="1:17" ht="12.75" customHeight="1">
      <c r="A29" s="136"/>
      <c r="B29" s="140"/>
      <c r="C29" s="141"/>
      <c r="D29" s="137"/>
      <c r="E29" s="137"/>
      <c r="F29" s="150"/>
      <c r="G29" s="140"/>
      <c r="H29" s="141"/>
      <c r="I29" s="137"/>
      <c r="J29" s="137"/>
      <c r="K29" s="147"/>
      <c r="L29" s="147"/>
      <c r="M29" s="147"/>
      <c r="N29" s="147"/>
      <c r="O29" s="147"/>
      <c r="P29" s="260"/>
      <c r="Q29" s="153"/>
    </row>
    <row r="30" spans="1:17" ht="12.75" customHeight="1">
      <c r="A30" s="136"/>
      <c r="B30" s="138"/>
      <c r="C30" s="139"/>
      <c r="D30" s="137"/>
      <c r="E30" s="137"/>
      <c r="F30" s="150" t="str">
        <f>IF(G30&lt;&gt;"",$A$14&amp;"."&amp;(ROW(G30)-12)/2,"")</f>
        <v/>
      </c>
      <c r="G30" s="137"/>
      <c r="H30" s="137"/>
      <c r="I30" s="137"/>
      <c r="J30" s="137"/>
      <c r="K30" s="146"/>
      <c r="L30" s="146"/>
      <c r="M30" s="146" t="str">
        <f>IF(F30&lt;&gt;"",IF(O30="R.I.F.",10,
                          IF(OR(RIGHT($B$14,4)="100%",$B$14="OLEAR COM ÓLEO PROTETIVO",$B$14="MAGNAFLUX",$B$14="DESEMPENAR"),"100%",
                          IF(OR(P30="C",P30="E"),4,IF(P30="D",6,2)))),"")</f>
        <v/>
      </c>
      <c r="N30" s="146" t="str">
        <f>IF(G30&lt;&gt;"","LOTE","")</f>
        <v/>
      </c>
      <c r="O30" s="146" t="str">
        <f>IF(F30&lt;&gt;"",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100%",$B$14="SELECÃO VISUAL 100%",$B$14="SELEÇÃO AUTOMÁTICA 100%"),"R.I.","R.I.F."))),"")</f>
        <v/>
      </c>
      <c r="P30" s="259"/>
      <c r="Q30" s="152" t="str">
        <f>IF(F30&lt;&gt;"","IT 9.4.9.","")</f>
        <v/>
      </c>
    </row>
    <row r="31" spans="1:17" ht="12.75" customHeight="1">
      <c r="A31" s="136"/>
      <c r="B31" s="140"/>
      <c r="C31" s="141"/>
      <c r="D31" s="137"/>
      <c r="E31" s="137"/>
      <c r="F31" s="150"/>
      <c r="G31" s="137"/>
      <c r="H31" s="137"/>
      <c r="I31" s="137"/>
      <c r="J31" s="137"/>
      <c r="K31" s="147"/>
      <c r="L31" s="147"/>
      <c r="M31" s="147"/>
      <c r="N31" s="147"/>
      <c r="O31" s="147"/>
      <c r="P31" s="260"/>
      <c r="Q31" s="153"/>
    </row>
    <row r="32" spans="1:17" ht="12.75" customHeight="1">
      <c r="A32" s="136"/>
      <c r="B32" s="137"/>
      <c r="C32" s="137"/>
      <c r="D32" s="137"/>
      <c r="E32" s="137"/>
      <c r="F32" s="150" t="str">
        <f>IF(G32&lt;&gt;"",$A$14&amp;"."&amp;(ROW(G32)-12)/2,"")</f>
        <v/>
      </c>
      <c r="G32" s="138"/>
      <c r="H32" s="139"/>
      <c r="I32" s="137"/>
      <c r="J32" s="137"/>
      <c r="K32" s="146"/>
      <c r="L32" s="146"/>
      <c r="M32" s="146" t="str">
        <f>IF(F32&lt;&gt;"",IF(O32="R.I.F.",10,
                          IF(OR(RIGHT($B$14,4)="100%",$B$14="OLEAR COM ÓLEO PROTETIVO",$B$14="MAGNAFLUX",$B$14="DESEMPENAR"),"100%",
                          IF(OR(P32="C",P32="E"),4,IF(P32="D",6,2)))),"")</f>
        <v/>
      </c>
      <c r="N32" s="146" t="str">
        <f>IF(G32&lt;&gt;"","LOTE","")</f>
        <v/>
      </c>
      <c r="O32" s="146" t="str">
        <f>IF(F32&lt;&gt;"",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100%",$B$14="SELECÃO VISUAL 100%",$B$14="SELEÇÃO AUTOMÁTICA 100%"),"R.I.","R.I.F."))),"")</f>
        <v/>
      </c>
      <c r="P32" s="259"/>
      <c r="Q32" s="152" t="str">
        <f>IF(F32&lt;&gt;"","IT 9.4.9.","")</f>
        <v/>
      </c>
    </row>
    <row r="33" spans="1:17" ht="12.75" customHeight="1">
      <c r="A33" s="136"/>
      <c r="B33" s="137"/>
      <c r="C33" s="137"/>
      <c r="D33" s="137"/>
      <c r="E33" s="137"/>
      <c r="F33" s="150"/>
      <c r="G33" s="140"/>
      <c r="H33" s="141"/>
      <c r="I33" s="137"/>
      <c r="J33" s="137"/>
      <c r="K33" s="147"/>
      <c r="L33" s="147"/>
      <c r="M33" s="147"/>
      <c r="N33" s="147"/>
      <c r="O33" s="147"/>
      <c r="P33" s="260"/>
      <c r="Q33" s="153"/>
    </row>
    <row r="34" spans="1:17" ht="12.75" customHeight="1">
      <c r="A34" s="136"/>
      <c r="B34" s="137"/>
      <c r="C34" s="137"/>
      <c r="D34" s="137"/>
      <c r="E34" s="137"/>
      <c r="F34" s="150" t="str">
        <f>IF(G34&lt;&gt;"",$A$14&amp;"."&amp;(ROW(G34)-12)/2,"")</f>
        <v/>
      </c>
      <c r="G34" s="137"/>
      <c r="H34" s="137"/>
      <c r="I34" s="137"/>
      <c r="J34" s="137"/>
      <c r="K34" s="146"/>
      <c r="L34" s="146"/>
      <c r="M34" s="146" t="str">
        <f>IF(F34&lt;&gt;"",IF(O34="R.I.F.",10,
                          IF(OR(RIGHT($B$14,4)="100%",$B$14="OLEAR COM ÓLEO PROTETIVO",$B$14="MAGNAFLUX",$B$14="DESEMPENAR"),"100%",
                          IF(OR(P34="C",P34="E"),4,IF(P34="D",6,2)))),"")</f>
        <v/>
      </c>
      <c r="N34" s="146" t="str">
        <f>IF(G34&lt;&gt;"","LOTE","")</f>
        <v/>
      </c>
      <c r="O34" s="146" t="str">
        <f>IF(F34&lt;&gt;"",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100%",$B$14="SELECÃO VISUAL 100%",$B$14="SELEÇÃO AUTOMÁTICA 100%"),"R.I.","R.I.F."))),"")</f>
        <v/>
      </c>
      <c r="P34" s="259"/>
      <c r="Q34" s="152" t="str">
        <f>IF(F34&lt;&gt;"","IT 9.4.9.","")</f>
        <v/>
      </c>
    </row>
    <row r="35" spans="1:17" ht="12.75" customHeight="1">
      <c r="A35" s="136"/>
      <c r="B35" s="137"/>
      <c r="C35" s="137"/>
      <c r="D35" s="137"/>
      <c r="E35" s="137"/>
      <c r="F35" s="150"/>
      <c r="G35" s="137"/>
      <c r="H35" s="137"/>
      <c r="I35" s="137"/>
      <c r="J35" s="137"/>
      <c r="K35" s="147"/>
      <c r="L35" s="147"/>
      <c r="M35" s="147"/>
      <c r="N35" s="147"/>
      <c r="O35" s="147"/>
      <c r="P35" s="260"/>
      <c r="Q35" s="153"/>
    </row>
    <row r="36" spans="1:17" ht="12.75" customHeight="1">
      <c r="A36" s="136"/>
      <c r="B36" s="137"/>
      <c r="C36" s="137"/>
      <c r="D36" s="137"/>
      <c r="E36" s="137"/>
      <c r="F36" s="150" t="str">
        <f>IF(G36&lt;&gt;"",$A$14&amp;"."&amp;(ROW(G36)-12)/2,"")</f>
        <v/>
      </c>
      <c r="G36" s="138"/>
      <c r="H36" s="139"/>
      <c r="I36" s="137"/>
      <c r="J36" s="137"/>
      <c r="K36" s="146"/>
      <c r="L36" s="146"/>
      <c r="M36" s="146" t="str">
        <f>IF(F36&lt;&gt;"",IF(O36="R.I.F.",10,
                          IF(OR(RIGHT($B$14,4)="100%",$B$14="OLEAR COM ÓLEO PROTETIVO",$B$14="MAGNAFLUX",$B$14="DESEMPENAR"),"100%",
                          IF(OR(P36="C",P36="E"),4,IF(P36="D",6,2)))),"")</f>
        <v/>
      </c>
      <c r="N36" s="146" t="str">
        <f>IF(G36&lt;&gt;"","LOTE","")</f>
        <v/>
      </c>
      <c r="O36" s="146" t="str">
        <f>IF(F36&lt;&gt;"",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100%",$B$14="SELECÃO VISUAL 100%",$B$14="SELEÇÃO AUTOMÁTICA 100%"),"R.I.","R.I.F."))),"")</f>
        <v/>
      </c>
      <c r="P36" s="259"/>
      <c r="Q36" s="152" t="str">
        <f>IF(F36&lt;&gt;"","IT 9.4.9.","")</f>
        <v/>
      </c>
    </row>
    <row r="37" spans="1:17" ht="12.75" customHeight="1">
      <c r="A37" s="136"/>
      <c r="B37" s="137"/>
      <c r="C37" s="137"/>
      <c r="D37" s="137"/>
      <c r="E37" s="137"/>
      <c r="F37" s="150"/>
      <c r="G37" s="140"/>
      <c r="H37" s="141"/>
      <c r="I37" s="137"/>
      <c r="J37" s="137"/>
      <c r="K37" s="147"/>
      <c r="L37" s="147"/>
      <c r="M37" s="147"/>
      <c r="N37" s="147"/>
      <c r="O37" s="147"/>
      <c r="P37" s="260"/>
      <c r="Q37" s="153"/>
    </row>
    <row r="38" spans="1:17" ht="12.75" customHeight="1">
      <c r="A38" s="136"/>
      <c r="B38" s="137"/>
      <c r="C38" s="137"/>
      <c r="D38" s="137"/>
      <c r="E38" s="137"/>
      <c r="F38" s="150" t="str">
        <f>IF(G38&lt;&gt;"",$A$14&amp;"."&amp;(ROW(G38)-12)/2,"")</f>
        <v/>
      </c>
      <c r="G38" s="137"/>
      <c r="H38" s="137"/>
      <c r="I38" s="137"/>
      <c r="J38" s="137"/>
      <c r="K38" s="146"/>
      <c r="L38" s="146"/>
      <c r="M38" s="146" t="str">
        <f>IF(F38&lt;&gt;"",IF(O38="R.I.F.",10,
                          IF(OR(RIGHT($B$14,4)="100%",$B$14="OLEAR COM ÓLEO PROTETIVO",$B$14="MAGNAFLUX",$B$14="DESEMPENAR"),"100%",
                          IF(OR(P38="C",P38="E"),4,IF(P38="D",6,2)))),"")</f>
        <v/>
      </c>
      <c r="N38" s="146" t="str">
        <f>IF(G38&lt;&gt;"","LOTE","")</f>
        <v/>
      </c>
      <c r="O38" s="146" t="str">
        <f>IF(F38&lt;&gt;"",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100%",$B$14="SELECÃO VISUAL 100%",$B$14="SELEÇÃO AUTOMÁTICA 100%"),"R.I.","R.I.F."))),"")</f>
        <v/>
      </c>
      <c r="P38" s="259"/>
      <c r="Q38" s="152" t="str">
        <f>IF(F38&lt;&gt;"","IT 9.4.9.","")</f>
        <v/>
      </c>
    </row>
    <row r="39" spans="1:17" ht="12.75" customHeight="1">
      <c r="A39" s="136"/>
      <c r="B39" s="137"/>
      <c r="C39" s="137"/>
      <c r="D39" s="137"/>
      <c r="E39" s="137"/>
      <c r="F39" s="150"/>
      <c r="G39" s="137"/>
      <c r="H39" s="137"/>
      <c r="I39" s="137"/>
      <c r="J39" s="137"/>
      <c r="K39" s="147"/>
      <c r="L39" s="147"/>
      <c r="M39" s="147"/>
      <c r="N39" s="147"/>
      <c r="O39" s="147"/>
      <c r="P39" s="260"/>
      <c r="Q39" s="153"/>
    </row>
    <row r="40" spans="1:17" ht="12.75" customHeight="1">
      <c r="A40" s="136"/>
      <c r="B40" s="137"/>
      <c r="C40" s="137"/>
      <c r="D40" s="137"/>
      <c r="E40" s="137"/>
      <c r="F40" s="150" t="str">
        <f>IF(G40&lt;&gt;"",$A$14&amp;"."&amp;(ROW(G40)-12)/2,"")</f>
        <v/>
      </c>
      <c r="G40" s="138"/>
      <c r="H40" s="139"/>
      <c r="I40" s="138"/>
      <c r="J40" s="139"/>
      <c r="K40" s="146"/>
      <c r="L40" s="146"/>
      <c r="M40" s="146" t="str">
        <f>IF(F40&lt;&gt;"",IF(O40="R.I.F.",10,
                          IF(OR(RIGHT($B$14,4)="100%",$B$14="OLEAR COM ÓLEO PROTETIVO",$B$14="MAGNAFLUX",$B$14="DESEMPENAR"),"100%",
                          IF(OR(P40="C",P40="E"),4,IF(P40="D",6,2)))),"")</f>
        <v/>
      </c>
      <c r="N40" s="146" t="str">
        <f>IF(G40&lt;&gt;"","LOTE","")</f>
        <v/>
      </c>
      <c r="O40" s="146" t="str">
        <f>IF(F40&lt;&gt;"",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100%",$B$14="SELECÃO VISUAL 100%",$B$14="SELEÇÃO AUTOMÁTICA 100%"),"R.I.","R.I.F."))),"")</f>
        <v/>
      </c>
      <c r="P40" s="259"/>
      <c r="Q40" s="152" t="str">
        <f>IF(F40&lt;&gt;"","IT 9.4.9.","")</f>
        <v/>
      </c>
    </row>
    <row r="41" spans="1:17" ht="12.75" customHeight="1">
      <c r="A41" s="136"/>
      <c r="B41" s="137"/>
      <c r="C41" s="137"/>
      <c r="D41" s="137"/>
      <c r="E41" s="137"/>
      <c r="F41" s="150"/>
      <c r="G41" s="140"/>
      <c r="H41" s="141"/>
      <c r="I41" s="140"/>
      <c r="J41" s="141"/>
      <c r="K41" s="147"/>
      <c r="L41" s="147"/>
      <c r="M41" s="147"/>
      <c r="N41" s="147"/>
      <c r="O41" s="147"/>
      <c r="P41" s="260"/>
      <c r="Q41" s="153"/>
    </row>
    <row r="42" spans="1:17" ht="12.75" customHeight="1">
      <c r="A42" s="136"/>
      <c r="B42" s="137"/>
      <c r="C42" s="137"/>
      <c r="D42" s="137"/>
      <c r="E42" s="137"/>
      <c r="F42" s="150" t="str">
        <f>IF(G42&lt;&gt;"",$A$14&amp;"."&amp;(ROW(G42)-12)/2,"")</f>
        <v/>
      </c>
      <c r="G42" s="138"/>
      <c r="H42" s="139"/>
      <c r="I42" s="138"/>
      <c r="J42" s="139"/>
      <c r="K42" s="146"/>
      <c r="L42" s="146"/>
      <c r="M42" s="146" t="str">
        <f>IF(F42&lt;&gt;"",IF(O42="R.I.F.",10,
                          IF(OR(RIGHT($B$14,4)="100%",$B$14="OLEAR COM ÓLEO PROTETIVO",$B$14="MAGNAFLUX",$B$14="DESEMPENAR"),"100%",
                          IF(OR(P42="C",P42="E"),4,IF(P42="D",6,2)))),"")</f>
        <v/>
      </c>
      <c r="N42" s="146" t="str">
        <f>IF(G42&lt;&gt;"","LOTE","")</f>
        <v/>
      </c>
      <c r="O42" s="146" t="str">
        <f>IF(F42&lt;&gt;"",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100%",$B$14="SELECÃO VISUAL 100%",$B$14="SELEÇÃO AUTOMÁTICA 100%"),"R.I.","R.I.F."))),"")</f>
        <v/>
      </c>
      <c r="P42" s="259"/>
      <c r="Q42" s="152" t="str">
        <f>IF(F42&lt;&gt;"","IT 9.4.9.","")</f>
        <v/>
      </c>
    </row>
    <row r="43" spans="1:17" ht="12.75" customHeight="1">
      <c r="A43" s="136"/>
      <c r="B43" s="137"/>
      <c r="C43" s="137"/>
      <c r="D43" s="137"/>
      <c r="E43" s="137"/>
      <c r="F43" s="150"/>
      <c r="G43" s="140"/>
      <c r="H43" s="141"/>
      <c r="I43" s="140"/>
      <c r="J43" s="141"/>
      <c r="K43" s="147"/>
      <c r="L43" s="147"/>
      <c r="M43" s="147"/>
      <c r="N43" s="147"/>
      <c r="O43" s="147"/>
      <c r="P43" s="260"/>
      <c r="Q43" s="153"/>
    </row>
    <row r="44" spans="1:17" ht="12.75" customHeight="1">
      <c r="A44" s="163"/>
      <c r="B44" s="138"/>
      <c r="C44" s="139"/>
      <c r="D44" s="138"/>
      <c r="E44" s="139"/>
      <c r="F44" s="150" t="str">
        <f>IF(G44&lt;&gt;"",$A$14&amp;"."&amp;(ROW(G44)-12)/2,"")</f>
        <v/>
      </c>
      <c r="G44" s="137"/>
      <c r="H44" s="137"/>
      <c r="I44" s="137"/>
      <c r="J44" s="137"/>
      <c r="K44" s="137"/>
      <c r="L44" s="146"/>
      <c r="M44" s="146" t="str">
        <f>IF(F44&lt;&gt;"",IF(O44="R.I.F.",10,
                          IF(OR(RIGHT($B$14,4)="100%",$B$14="OLEAR COM ÓLEO PROTETIVO",$B$14="MAGNAFLUX",$B$14="DESEMPENAR"),"100%",
                          IF(OR(P44="C",P44="E"),4,IF(P44="D",6,2)))),"")</f>
        <v/>
      </c>
      <c r="N44" s="146" t="str">
        <f>IF(G44&lt;&gt;"","LOTE","")</f>
        <v/>
      </c>
      <c r="O44" s="146" t="str">
        <f>IF(F44&lt;&gt;"",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100%",$B$14="SELECÃO VISUAL 100%",$B$14="SELEÇÃO AUTOMÁTICA 100%"),"R.I.","R.I.F."))),"")</f>
        <v/>
      </c>
      <c r="P44" s="259"/>
      <c r="Q44" s="152" t="str">
        <f>IF(F44&lt;&gt;"","IT 9.4.9.","")</f>
        <v/>
      </c>
    </row>
    <row r="45" spans="1:17" ht="12.75" customHeight="1">
      <c r="A45" s="261"/>
      <c r="B45" s="140"/>
      <c r="C45" s="141"/>
      <c r="D45" s="140"/>
      <c r="E45" s="141"/>
      <c r="F45" s="150"/>
      <c r="G45" s="146"/>
      <c r="H45" s="146"/>
      <c r="I45" s="146"/>
      <c r="J45" s="146"/>
      <c r="K45" s="146"/>
      <c r="L45" s="147"/>
      <c r="M45" s="147"/>
      <c r="N45" s="147"/>
      <c r="O45" s="147"/>
      <c r="P45" s="260"/>
      <c r="Q45" s="153"/>
    </row>
    <row r="46" spans="1:17" ht="12.75" customHeight="1">
      <c r="A46" s="163"/>
      <c r="B46" s="138"/>
      <c r="C46" s="139"/>
      <c r="D46" s="138"/>
      <c r="E46" s="139"/>
      <c r="F46" s="150" t="str">
        <f>IF(G46&lt;&gt;"",$A$14&amp;"."&amp;(ROW(G46)-12)/2,"")</f>
        <v/>
      </c>
      <c r="G46" s="138"/>
      <c r="H46" s="139"/>
      <c r="I46" s="137"/>
      <c r="J46" s="137"/>
      <c r="K46" s="146"/>
      <c r="L46" s="146"/>
      <c r="M46" s="146" t="str">
        <f>IF(F46&lt;&gt;"",IF(O46="R.I.F.",10,
                          IF(OR(RIGHT($B$14,4)="100%",$B$14="OLEAR COM ÓLEO PROTETIVO",$B$14="MAGNAFLUX",$B$14="DESEMPENAR"),"100%",
                          IF(OR(P46="C",P46="E"),4,IF(P46="D",6,2)))),"")</f>
        <v/>
      </c>
      <c r="N46" s="146" t="str">
        <f>IF(G46&lt;&gt;"","LOTE","")</f>
        <v/>
      </c>
      <c r="O46" s="146" t="str">
        <f>IF(F46&lt;&gt;"",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100%",$B$14="SELECÃO VISUAL 100%",$B$14="SELEÇÃO AUTOMÁTICA 100%"),"R.I.","R.I.F."))),"")</f>
        <v/>
      </c>
      <c r="P46" s="259"/>
      <c r="Q46" s="152" t="str">
        <f>IF(F46&lt;&gt;"","IT 9.4.9.","")</f>
        <v/>
      </c>
    </row>
    <row r="47" spans="1:17" ht="12.75" customHeight="1">
      <c r="A47" s="261"/>
      <c r="B47" s="140"/>
      <c r="C47" s="141"/>
      <c r="D47" s="140"/>
      <c r="E47" s="141"/>
      <c r="F47" s="150"/>
      <c r="G47" s="140"/>
      <c r="H47" s="141"/>
      <c r="I47" s="137"/>
      <c r="J47" s="137"/>
      <c r="K47" s="147"/>
      <c r="L47" s="147"/>
      <c r="M47" s="147"/>
      <c r="N47" s="147"/>
      <c r="O47" s="147"/>
      <c r="P47" s="260"/>
      <c r="Q47" s="153"/>
    </row>
    <row r="48" spans="1:17" ht="12.75" customHeight="1">
      <c r="A48" s="136"/>
      <c r="B48" s="137"/>
      <c r="C48" s="137"/>
      <c r="D48" s="137"/>
      <c r="E48" s="137"/>
      <c r="F48" s="150" t="str">
        <f>IF(G48&lt;&gt;"",$A$14&amp;"."&amp;(ROW(G48)-12)/2,"")</f>
        <v/>
      </c>
      <c r="G48" s="138"/>
      <c r="H48" s="139"/>
      <c r="I48" s="137"/>
      <c r="J48" s="137"/>
      <c r="K48" s="146"/>
      <c r="L48" s="146"/>
      <c r="M48" s="146" t="str">
        <f>IF(F48&lt;&gt;"",IF(O48="R.I.F.",10,
                          IF(OR(RIGHT($B$14,4)="100%",$B$14="OLEAR COM ÓLEO PROTETIVO",$B$14="MAGNAFLUX",$B$14="DESEMPENAR"),"100%",
                          IF(OR(P48="C",P48="E"),4,IF(P48="D",6,2)))),"")</f>
        <v/>
      </c>
      <c r="N48" s="146" t="str">
        <f>IF(G48&lt;&gt;"","LOTE","")</f>
        <v/>
      </c>
      <c r="O48" s="146" t="str">
        <f>IF(F48&lt;&gt;"",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100%",$B$14="SELECÃO VISUAL 100%",$B$14="SELEÇÃO AUTOMÁTICA 100%"),"R.I.","R.I.F."))),"")</f>
        <v/>
      </c>
      <c r="P48" s="259"/>
      <c r="Q48" s="152" t="str">
        <f>IF(F48&lt;&gt;"","IT 9.4.9.","")</f>
        <v/>
      </c>
    </row>
    <row r="49" spans="1:17" ht="12.75" customHeight="1">
      <c r="A49" s="163"/>
      <c r="B49" s="146"/>
      <c r="C49" s="146"/>
      <c r="D49" s="146"/>
      <c r="E49" s="146"/>
      <c r="F49" s="150"/>
      <c r="G49" s="140"/>
      <c r="H49" s="141"/>
      <c r="I49" s="137"/>
      <c r="J49" s="137"/>
      <c r="K49" s="147"/>
      <c r="L49" s="147"/>
      <c r="M49" s="147"/>
      <c r="N49" s="147"/>
      <c r="O49" s="147"/>
      <c r="P49" s="260"/>
      <c r="Q49" s="153"/>
    </row>
    <row r="50" spans="1:17" ht="12.75" customHeight="1">
      <c r="A50" s="136"/>
      <c r="B50" s="137"/>
      <c r="C50" s="137"/>
      <c r="D50" s="137"/>
      <c r="E50" s="137"/>
      <c r="F50" s="370" t="str">
        <f>IF(G50&lt;&gt;"",$A$14&amp;"."&amp;(ROW(G50)-12)/2,"")</f>
        <v/>
      </c>
      <c r="G50" s="137"/>
      <c r="H50" s="137"/>
      <c r="I50" s="137"/>
      <c r="J50" s="137"/>
      <c r="K50" s="146"/>
      <c r="L50" s="146"/>
      <c r="M50" s="146" t="str">
        <f>IF(F50&lt;&gt;"",IF(O50="R.I.F.",10,
                          IF(OR(RIGHT($B$14,4)="100%",$B$14="OLEAR COM ÓLEO PROTETIVO",$B$14="MAGNAFLUX",$B$14="DESEMPENAR"),"100%",
                          IF(OR(P50="C",P50="E"),4,IF(P50="D",6,2)))),"")</f>
        <v/>
      </c>
      <c r="N50" s="146" t="str">
        <f>IF(G50&lt;&gt;"","LOTE","")</f>
        <v/>
      </c>
      <c r="O50" s="146" t="str">
        <f>IF(F50&lt;&gt;"",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100%",$B$14="SELECÃO VISUAL 100%",$B$14="SELEÇÃO AUTOMÁTICA 100%"),"R.I.","R.I.F."))),"")</f>
        <v/>
      </c>
      <c r="P50" s="259"/>
      <c r="Q50" s="152" t="str">
        <f>IF(F50&lt;&gt;"","IT 9.4.9.","")</f>
        <v/>
      </c>
    </row>
    <row r="51" spans="1:17" ht="12.75" customHeight="1">
      <c r="A51" s="163"/>
      <c r="B51" s="146"/>
      <c r="C51" s="146"/>
      <c r="D51" s="146"/>
      <c r="E51" s="146"/>
      <c r="F51" s="370"/>
      <c r="G51" s="137"/>
      <c r="H51" s="137"/>
      <c r="I51" s="137"/>
      <c r="J51" s="137"/>
      <c r="K51" s="147"/>
      <c r="L51" s="147"/>
      <c r="M51" s="147"/>
      <c r="N51" s="147"/>
      <c r="O51" s="147"/>
      <c r="P51" s="260"/>
      <c r="Q51" s="153"/>
    </row>
    <row r="52" spans="1:17" ht="12.75" customHeight="1">
      <c r="A52" s="163"/>
      <c r="B52" s="138"/>
      <c r="C52" s="139"/>
      <c r="D52" s="138"/>
      <c r="E52" s="139"/>
      <c r="F52" s="150" t="str">
        <f>IF(G52&lt;&gt;"",$A$14&amp;"."&amp;(ROW(G52)-12)/2,"")</f>
        <v/>
      </c>
      <c r="G52" s="138"/>
      <c r="H52" s="139"/>
      <c r="I52" s="137"/>
      <c r="J52" s="137"/>
      <c r="K52" s="146"/>
      <c r="L52" s="146"/>
      <c r="M52" s="146" t="str">
        <f>IF(F52&lt;&gt;"",IF(O52="R.I.F.",10,
                          IF(OR(RIGHT($B$14,4)="100%",$B$14="OLEAR COM ÓLEO PROTETIVO",$B$14="MAGNAFLUX",$B$14="DESEMPENAR"),"100%",
                          IF(OR(P52="C",P52="E"),4,IF(P52="D",6,2)))),"")</f>
        <v/>
      </c>
      <c r="N52" s="146" t="str">
        <f>IF(G52&lt;&gt;"","LOTE","")</f>
        <v/>
      </c>
      <c r="O52" s="146" t="str">
        <f>IF(F52&lt;&gt;"",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100%",$B$14="SELECÃO VISUAL 100%",$B$14="SELEÇÃO AUTOMÁTICA 100%"),"R.I.","R.I.F."))),"")</f>
        <v/>
      </c>
      <c r="P52" s="259"/>
      <c r="Q52" s="152" t="str">
        <f>IF(F52&lt;&gt;"","IT 9.4.9.","")</f>
        <v/>
      </c>
    </row>
    <row r="53" spans="1:17" ht="12.75" customHeight="1">
      <c r="A53" s="261"/>
      <c r="B53" s="140"/>
      <c r="C53" s="141"/>
      <c r="D53" s="140"/>
      <c r="E53" s="141"/>
      <c r="F53" s="150"/>
      <c r="G53" s="140"/>
      <c r="H53" s="141"/>
      <c r="I53" s="137"/>
      <c r="J53" s="137"/>
      <c r="K53" s="147"/>
      <c r="L53" s="147"/>
      <c r="M53" s="147"/>
      <c r="N53" s="147"/>
      <c r="O53" s="147"/>
      <c r="P53" s="260"/>
      <c r="Q53" s="153"/>
    </row>
    <row r="54" spans="1:17" ht="12.75" customHeight="1">
      <c r="A54" s="136"/>
      <c r="B54" s="137"/>
      <c r="C54" s="137"/>
      <c r="D54" s="137"/>
      <c r="E54" s="137"/>
      <c r="F54" s="150" t="str">
        <f>IF(G54&lt;&gt;"",$A$14&amp;"."&amp;(ROW(G54)-12)/2,"")</f>
        <v/>
      </c>
      <c r="G54" s="138"/>
      <c r="H54" s="139"/>
      <c r="I54" s="137"/>
      <c r="J54" s="137"/>
      <c r="K54" s="146"/>
      <c r="L54" s="146"/>
      <c r="M54" s="146" t="str">
        <f>IF(F54&lt;&gt;"",IF(O54="R.I.F.",10,
                          IF(OR(RIGHT($B$14,4)="100%",$B$14="OLEAR COM ÓLEO PROTETIVO",$B$14="MAGNAFLUX",$B$14="DESEMPENAR"),"100%",
                          IF(OR(P54="C",P54="E"),4,IF(P54="D",6,2)))),"")</f>
        <v/>
      </c>
      <c r="N54" s="146" t="str">
        <f>IF(G54&lt;&gt;"","LOTE","")</f>
        <v/>
      </c>
      <c r="O54" s="146" t="str">
        <f>IF(F54&lt;&gt;"",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100%",$B$14="SELECÃO VISUAL 100%",$B$14="SELEÇÃO AUTOMÁTICA 100%"),"R.I.","R.I.F."))),"")</f>
        <v/>
      </c>
      <c r="P54" s="259"/>
      <c r="Q54" s="152" t="str">
        <f>IF(F54&lt;&gt;"","IT 9.4.9.","")</f>
        <v/>
      </c>
    </row>
    <row r="55" spans="1:17" ht="12.75" customHeight="1">
      <c r="A55" s="163"/>
      <c r="B55" s="146"/>
      <c r="C55" s="146"/>
      <c r="D55" s="146"/>
      <c r="E55" s="146"/>
      <c r="F55" s="150"/>
      <c r="G55" s="140"/>
      <c r="H55" s="141"/>
      <c r="I55" s="137"/>
      <c r="J55" s="137"/>
      <c r="K55" s="147"/>
      <c r="L55" s="147"/>
      <c r="M55" s="147"/>
      <c r="N55" s="147"/>
      <c r="O55" s="147"/>
      <c r="P55" s="260"/>
      <c r="Q55" s="153"/>
    </row>
    <row r="56" spans="1:17" ht="12.75" customHeight="1">
      <c r="A56" s="136"/>
      <c r="B56" s="137"/>
      <c r="C56" s="137"/>
      <c r="D56" s="137"/>
      <c r="E56" s="137"/>
      <c r="F56" s="370" t="str">
        <f>IF(G56&lt;&gt;"",$A$14&amp;"."&amp;(ROW(G56)-12)/2,"")</f>
        <v/>
      </c>
      <c r="G56" s="137"/>
      <c r="H56" s="137"/>
      <c r="I56" s="137"/>
      <c r="J56" s="137"/>
      <c r="K56" s="146"/>
      <c r="L56" s="146"/>
      <c r="M56" s="146" t="str">
        <f>IF(F56&lt;&gt;"",IF(O56="R.I.F.",10,
                          IF(OR(RIGHT($B$14,4)="100%",$B$14="OLEAR COM ÓLEO PROTETIVO",$B$14="MAGNAFLUX",$B$14="DESEMPENAR"),"100%",
                          IF(OR(P56="C",P56="E"),4,IF(P56="D",6,2)))),"")</f>
        <v/>
      </c>
      <c r="N56" s="146" t="str">
        <f>IF(G56&lt;&gt;"","LOTE","")</f>
        <v/>
      </c>
      <c r="O56" s="146" t="str">
        <f>IF(F56&lt;&gt;"",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100%",$B$14="SELECÃO VISUAL 100%",$B$14="SELEÇÃO AUTOMÁTICA 100%"),"R.I.","R.I.F."))),"")</f>
        <v/>
      </c>
      <c r="P56" s="259"/>
      <c r="Q56" s="152" t="str">
        <f>IF(F56&lt;&gt;"","IT 9.4.9.","")</f>
        <v/>
      </c>
    </row>
    <row r="57" spans="1:17" ht="12.75" customHeight="1" thickBot="1">
      <c r="A57" s="163"/>
      <c r="B57" s="146"/>
      <c r="C57" s="146"/>
      <c r="D57" s="146"/>
      <c r="E57" s="146"/>
      <c r="F57" s="370"/>
      <c r="G57" s="137"/>
      <c r="H57" s="137"/>
      <c r="I57" s="137"/>
      <c r="J57" s="137"/>
      <c r="K57" s="147"/>
      <c r="L57" s="147"/>
      <c r="M57" s="147"/>
      <c r="N57" s="147"/>
      <c r="O57" s="147"/>
      <c r="P57" s="260"/>
      <c r="Q57" s="153"/>
    </row>
    <row r="58" spans="1:17">
      <c r="A58" s="157" t="s">
        <v>53</v>
      </c>
      <c r="B58" s="158"/>
      <c r="C58" s="158"/>
      <c r="D58" s="158"/>
      <c r="E58" s="159"/>
      <c r="F58" s="370" t="str">
        <f>IF(G58&lt;&gt;"",$A$14&amp;"."&amp;(ROW(G58)-12)/2,"")</f>
        <v/>
      </c>
      <c r="G58" s="147"/>
      <c r="H58" s="147"/>
      <c r="I58" s="147"/>
      <c r="J58" s="147"/>
      <c r="K58" s="147"/>
      <c r="L58" s="147"/>
      <c r="M58" s="146" t="str">
        <f>IF(F58&lt;&gt;"",IF(O58="R.I.F.",10,
                          IF(OR(RIGHT($B$14,4)="100%",$B$14="OLEAR COM ÓLEO PROTETIVO",$B$14="MAGNAFLUX",$B$14="DESEMPENAR"),"100%",
                          IF(OR(P58="C",P58="E"),4,IF(P58="D",6,2)))),"")</f>
        <v/>
      </c>
      <c r="N58" s="146" t="str">
        <f>IF(G58&lt;&gt;"","LOTE","")</f>
        <v/>
      </c>
      <c r="O58" s="146" t="str">
        <f>IF(F58&lt;&gt;"",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100%",$B$14="SELECÃO VISUAL 100%",$B$14="SELEÇÃO AUTOMÁTICA 100%"),"R.I.","R.I.F."))),"")</f>
        <v/>
      </c>
      <c r="P58" s="260"/>
      <c r="Q58" s="152" t="str">
        <f>IF(F58&lt;&gt;"","IT 9.4.9.","")</f>
        <v/>
      </c>
    </row>
    <row r="59" spans="1:17">
      <c r="A59" s="160"/>
      <c r="B59" s="161"/>
      <c r="C59" s="161"/>
      <c r="D59" s="161"/>
      <c r="E59" s="162"/>
      <c r="F59" s="370"/>
      <c r="G59" s="137"/>
      <c r="H59" s="137"/>
      <c r="I59" s="137"/>
      <c r="J59" s="137"/>
      <c r="K59" s="137"/>
      <c r="L59" s="137"/>
      <c r="M59" s="147"/>
      <c r="N59" s="147"/>
      <c r="O59" s="147"/>
      <c r="P59" s="303"/>
      <c r="Q59" s="153"/>
    </row>
    <row r="60" spans="1:17" ht="15.75">
      <c r="A60" s="37" t="s">
        <v>43</v>
      </c>
      <c r="B60" s="290" t="s">
        <v>54</v>
      </c>
      <c r="C60" s="291"/>
      <c r="D60" s="291"/>
      <c r="E60" s="292"/>
      <c r="F60" s="370" t="str">
        <f>IF(G60&lt;&gt;"",$A$14&amp;"."&amp;(ROW(G60)-12)/2,"")</f>
        <v/>
      </c>
      <c r="G60" s="147"/>
      <c r="H60" s="147"/>
      <c r="I60" s="147"/>
      <c r="J60" s="147"/>
      <c r="K60" s="147"/>
      <c r="L60" s="147"/>
      <c r="M60" s="146" t="str">
        <f>IF(F60&lt;&gt;"",IF(O60="R.I.F.",10,
                          IF(OR(RIGHT($B$14,4)="100%",$B$14="OLEAR COM ÓLEO PROTETIVO",$B$14="MAGNAFLUX",$B$14="DESEMPENAR"),"100%",
                          IF(OR(P60="C",P60="E"),4,IF(P60="D",6,2)))),"")</f>
        <v/>
      </c>
      <c r="N60" s="146" t="str">
        <f>IF(G60&lt;&gt;"","LOTE","")</f>
        <v/>
      </c>
      <c r="O60" s="146" t="str">
        <f>IF(F60&lt;&gt;"",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100%",$B$14="SELECÃO VISUAL 100%",$B$14="SELEÇÃO AUTOMÁTICA 100%"),"R.I.","R.I.F."))),"")</f>
        <v/>
      </c>
      <c r="P60" s="260"/>
      <c r="Q60" s="152" t="str">
        <f>IF(F60&lt;&gt;"","IT 9.4.9.","")</f>
        <v/>
      </c>
    </row>
    <row r="61" spans="1:17" ht="15.75">
      <c r="A61" s="37" t="s">
        <v>55</v>
      </c>
      <c r="B61" s="290" t="s">
        <v>56</v>
      </c>
      <c r="C61" s="291"/>
      <c r="D61" s="291"/>
      <c r="E61" s="292"/>
      <c r="F61" s="370"/>
      <c r="G61" s="137"/>
      <c r="H61" s="137"/>
      <c r="I61" s="137"/>
      <c r="J61" s="137"/>
      <c r="K61" s="137"/>
      <c r="L61" s="137"/>
      <c r="M61" s="147"/>
      <c r="N61" s="147"/>
      <c r="O61" s="147"/>
      <c r="P61" s="303"/>
      <c r="Q61" s="153"/>
    </row>
    <row r="62" spans="1:17" ht="15.75">
      <c r="A62" s="37" t="s">
        <v>52</v>
      </c>
      <c r="B62" s="290" t="s">
        <v>57</v>
      </c>
      <c r="C62" s="291"/>
      <c r="D62" s="291"/>
      <c r="E62" s="292"/>
      <c r="F62" s="370" t="str">
        <f>IF(G62&lt;&gt;"",$A$14&amp;"."&amp;(ROW(G62)-12)/2,"")</f>
        <v/>
      </c>
      <c r="G62" s="137"/>
      <c r="H62" s="137"/>
      <c r="I62" s="137"/>
      <c r="J62" s="137"/>
      <c r="K62" s="137"/>
      <c r="L62" s="137"/>
      <c r="M62" s="146" t="str">
        <f>IF(F62&lt;&gt;"",IF(O62="R.I.F.",10,
                          IF(OR(RIGHT($B$14,4)="100%",$B$14="OLEAR COM ÓLEO PROTETIVO",$B$14="MAGNAFLUX",$B$14="DESEMPENAR"),"100%",
                          IF(OR(P62="C",P62="E"),4,IF(P62="D",6,2)))),"")</f>
        <v/>
      </c>
      <c r="N62" s="146" t="str">
        <f>IF(G62&lt;&gt;"","LOTE","")</f>
        <v/>
      </c>
      <c r="O62" s="146" t="str">
        <f>IF(F62&lt;&gt;"",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100%",$B$14="SELECÃO VISUAL 100%",$B$14="SELEÇÃO AUTOMÁTICA 100%"),"R.I.","R.I.F."))),"")</f>
        <v/>
      </c>
      <c r="P62" s="303"/>
      <c r="Q62" s="152" t="str">
        <f>IF(F62&lt;&gt;"","IT 9.4.9.","")</f>
        <v/>
      </c>
    </row>
    <row r="63" spans="1:17" ht="13.5" thickBot="1">
      <c r="A63" s="53"/>
      <c r="B63" s="54"/>
      <c r="C63" s="54"/>
      <c r="D63" s="54"/>
      <c r="E63" s="55"/>
      <c r="F63" s="371"/>
      <c r="G63" s="151"/>
      <c r="H63" s="151"/>
      <c r="I63" s="151"/>
      <c r="J63" s="151"/>
      <c r="K63" s="151"/>
      <c r="L63" s="151"/>
      <c r="M63" s="301"/>
      <c r="N63" s="147"/>
      <c r="O63" s="301"/>
      <c r="P63" s="304"/>
      <c r="Q63" s="302"/>
    </row>
    <row r="64" spans="1:17">
      <c r="A64"/>
      <c r="B64"/>
      <c r="C64"/>
      <c r="D64"/>
      <c r="E64"/>
    </row>
    <row r="65" spans="1:5">
      <c r="A65"/>
      <c r="B65"/>
      <c r="C65"/>
      <c r="D65"/>
      <c r="E65"/>
    </row>
  </sheetData>
  <sheetProtection sheet="1" formatCells="0" formatRows="0" insertRows="0" insertHyperlinks="0" deleteRows="0"/>
  <protectedRanges>
    <protectedRange sqref="A20:E45" name="Área2"/>
    <protectedRange sqref="A14:E19 Q8 Q6 G14:L63 N14:Q63" name="Intervalo1"/>
    <protectedRange sqref="M14:M63" name="Intervalo1_3"/>
  </protectedRanges>
  <mergeCells count="366">
    <mergeCell ref="D46:E47"/>
    <mergeCell ref="F46:F47"/>
    <mergeCell ref="G46:H47"/>
    <mergeCell ref="I46:J47"/>
    <mergeCell ref="K46:K47"/>
    <mergeCell ref="L46:L47"/>
    <mergeCell ref="M46:M47"/>
    <mergeCell ref="P62:P63"/>
    <mergeCell ref="B60:E60"/>
    <mergeCell ref="A58:E59"/>
    <mergeCell ref="B61:E61"/>
    <mergeCell ref="B62:E62"/>
    <mergeCell ref="F62:F63"/>
    <mergeCell ref="G62:H63"/>
    <mergeCell ref="I62:J63"/>
    <mergeCell ref="K62:K63"/>
    <mergeCell ref="L62:L63"/>
    <mergeCell ref="F60:F61"/>
    <mergeCell ref="G60:H61"/>
    <mergeCell ref="I60:J61"/>
    <mergeCell ref="A48:A49"/>
    <mergeCell ref="B48:C49"/>
    <mergeCell ref="D48:E49"/>
    <mergeCell ref="F48:F49"/>
    <mergeCell ref="G48:H49"/>
    <mergeCell ref="I48:J49"/>
    <mergeCell ref="Q48:Q49"/>
    <mergeCell ref="K48:K49"/>
    <mergeCell ref="L48:L49"/>
    <mergeCell ref="M48:M49"/>
    <mergeCell ref="N48:N49"/>
    <mergeCell ref="O48:O49"/>
    <mergeCell ref="P48:P49"/>
    <mergeCell ref="N46:N47"/>
    <mergeCell ref="O46:O47"/>
    <mergeCell ref="P46:P47"/>
    <mergeCell ref="Q42:Q43"/>
    <mergeCell ref="A44:A45"/>
    <mergeCell ref="B44:C45"/>
    <mergeCell ref="D44:E45"/>
    <mergeCell ref="F44:F45"/>
    <mergeCell ref="G44:H45"/>
    <mergeCell ref="I44:J45"/>
    <mergeCell ref="Q44:Q45"/>
    <mergeCell ref="K44:K45"/>
    <mergeCell ref="L44:L45"/>
    <mergeCell ref="M44:M45"/>
    <mergeCell ref="N44:N45"/>
    <mergeCell ref="O44:O45"/>
    <mergeCell ref="P44:P45"/>
    <mergeCell ref="A42:A43"/>
    <mergeCell ref="B42:C43"/>
    <mergeCell ref="D42:E43"/>
    <mergeCell ref="F42:F43"/>
    <mergeCell ref="Q46:Q47"/>
    <mergeCell ref="A46:A47"/>
    <mergeCell ref="B46:C47"/>
    <mergeCell ref="G42:H43"/>
    <mergeCell ref="I42:J43"/>
    <mergeCell ref="K42:K43"/>
    <mergeCell ref="L42:L43"/>
    <mergeCell ref="M42:M43"/>
    <mergeCell ref="N38:N39"/>
    <mergeCell ref="O38:O39"/>
    <mergeCell ref="P38:P39"/>
    <mergeCell ref="Q38:Q39"/>
    <mergeCell ref="N42:N43"/>
    <mergeCell ref="O42:O43"/>
    <mergeCell ref="P42:P43"/>
    <mergeCell ref="A40:A41"/>
    <mergeCell ref="B40:C41"/>
    <mergeCell ref="D40:E41"/>
    <mergeCell ref="F40:F41"/>
    <mergeCell ref="G40:H41"/>
    <mergeCell ref="I40:J41"/>
    <mergeCell ref="Q40:Q41"/>
    <mergeCell ref="K40:K41"/>
    <mergeCell ref="L40:L41"/>
    <mergeCell ref="M40:M41"/>
    <mergeCell ref="N40:N41"/>
    <mergeCell ref="O40:O41"/>
    <mergeCell ref="P40:P41"/>
    <mergeCell ref="A38:A39"/>
    <mergeCell ref="B38:C39"/>
    <mergeCell ref="D38:E39"/>
    <mergeCell ref="F38:F39"/>
    <mergeCell ref="G38:H39"/>
    <mergeCell ref="I38:J39"/>
    <mergeCell ref="K38:K39"/>
    <mergeCell ref="L38:L39"/>
    <mergeCell ref="M38:M39"/>
    <mergeCell ref="O34:O35"/>
    <mergeCell ref="P34:P35"/>
    <mergeCell ref="Q34:Q35"/>
    <mergeCell ref="A36:A37"/>
    <mergeCell ref="B36:C37"/>
    <mergeCell ref="D36:E37"/>
    <mergeCell ref="F36:F37"/>
    <mergeCell ref="G36:H37"/>
    <mergeCell ref="I36:J37"/>
    <mergeCell ref="Q36:Q37"/>
    <mergeCell ref="K36:K37"/>
    <mergeCell ref="L36:L37"/>
    <mergeCell ref="M36:M37"/>
    <mergeCell ref="N36:N37"/>
    <mergeCell ref="O36:O37"/>
    <mergeCell ref="P36:P37"/>
    <mergeCell ref="A34:A35"/>
    <mergeCell ref="B34:C35"/>
    <mergeCell ref="D34:E35"/>
    <mergeCell ref="F34:F35"/>
    <mergeCell ref="G34:H35"/>
    <mergeCell ref="I34:J35"/>
    <mergeCell ref="K34:K35"/>
    <mergeCell ref="L34:L35"/>
    <mergeCell ref="M34:M35"/>
    <mergeCell ref="N30:N31"/>
    <mergeCell ref="O30:O31"/>
    <mergeCell ref="P30:P31"/>
    <mergeCell ref="Q30:Q31"/>
    <mergeCell ref="A32:A33"/>
    <mergeCell ref="B32:C33"/>
    <mergeCell ref="D32:E33"/>
    <mergeCell ref="F32:F33"/>
    <mergeCell ref="G32:H33"/>
    <mergeCell ref="I32:J33"/>
    <mergeCell ref="Q32:Q33"/>
    <mergeCell ref="K32:K33"/>
    <mergeCell ref="L32:L33"/>
    <mergeCell ref="M32:M33"/>
    <mergeCell ref="N32:N33"/>
    <mergeCell ref="O32:O33"/>
    <mergeCell ref="P32:P33"/>
    <mergeCell ref="A30:A31"/>
    <mergeCell ref="D30:E31"/>
    <mergeCell ref="F30:F31"/>
    <mergeCell ref="G30:H31"/>
    <mergeCell ref="N34:N35"/>
    <mergeCell ref="I30:J31"/>
    <mergeCell ref="N26:N27"/>
    <mergeCell ref="O26:O27"/>
    <mergeCell ref="P26:P27"/>
    <mergeCell ref="Q26:Q27"/>
    <mergeCell ref="A28:A29"/>
    <mergeCell ref="D28:E29"/>
    <mergeCell ref="F28:F29"/>
    <mergeCell ref="G28:H29"/>
    <mergeCell ref="I28:J29"/>
    <mergeCell ref="Q28:Q29"/>
    <mergeCell ref="K28:K29"/>
    <mergeCell ref="L28:L29"/>
    <mergeCell ref="M28:M29"/>
    <mergeCell ref="N28:N29"/>
    <mergeCell ref="O28:O29"/>
    <mergeCell ref="P28:P29"/>
    <mergeCell ref="A26:A27"/>
    <mergeCell ref="D26:E27"/>
    <mergeCell ref="B26:C27"/>
    <mergeCell ref="B28:C29"/>
    <mergeCell ref="M26:M27"/>
    <mergeCell ref="A22:A23"/>
    <mergeCell ref="D22:E23"/>
    <mergeCell ref="F22:F23"/>
    <mergeCell ref="B22:C23"/>
    <mergeCell ref="B24:C25"/>
    <mergeCell ref="L22:L23"/>
    <mergeCell ref="M22:M23"/>
    <mergeCell ref="K30:K31"/>
    <mergeCell ref="L30:L31"/>
    <mergeCell ref="M30:M31"/>
    <mergeCell ref="B30:C31"/>
    <mergeCell ref="A24:A25"/>
    <mergeCell ref="D24:E25"/>
    <mergeCell ref="F24:F25"/>
    <mergeCell ref="G24:H25"/>
    <mergeCell ref="I24:J25"/>
    <mergeCell ref="F26:F27"/>
    <mergeCell ref="G26:H27"/>
    <mergeCell ref="I26:J27"/>
    <mergeCell ref="K26:K27"/>
    <mergeCell ref="L26:L27"/>
    <mergeCell ref="Q24:Q25"/>
    <mergeCell ref="K24:K25"/>
    <mergeCell ref="L24:L25"/>
    <mergeCell ref="M24:M25"/>
    <mergeCell ref="N24:N25"/>
    <mergeCell ref="O24:O25"/>
    <mergeCell ref="P24:P25"/>
    <mergeCell ref="D16:E17"/>
    <mergeCell ref="F16:F17"/>
    <mergeCell ref="G16:H17"/>
    <mergeCell ref="I16:J17"/>
    <mergeCell ref="N18:N19"/>
    <mergeCell ref="O18:O19"/>
    <mergeCell ref="P18:P19"/>
    <mergeCell ref="N22:N23"/>
    <mergeCell ref="O22:O23"/>
    <mergeCell ref="P22:P23"/>
    <mergeCell ref="Q18:Q19"/>
    <mergeCell ref="G22:H23"/>
    <mergeCell ref="I22:J23"/>
    <mergeCell ref="K22:K23"/>
    <mergeCell ref="Q22:Q23"/>
    <mergeCell ref="A20:A21"/>
    <mergeCell ref="B20:C21"/>
    <mergeCell ref="D20:E21"/>
    <mergeCell ref="F20:F21"/>
    <mergeCell ref="G20:H21"/>
    <mergeCell ref="I20:J21"/>
    <mergeCell ref="Q20:Q21"/>
    <mergeCell ref="K20:K21"/>
    <mergeCell ref="L20:L21"/>
    <mergeCell ref="M20:M21"/>
    <mergeCell ref="N20:N21"/>
    <mergeCell ref="O20:O21"/>
    <mergeCell ref="P20:P21"/>
    <mergeCell ref="P14:P15"/>
    <mergeCell ref="Q14:Q15"/>
    <mergeCell ref="Q12:Q13"/>
    <mergeCell ref="G13:H13"/>
    <mergeCell ref="I13:J13"/>
    <mergeCell ref="P12:P13"/>
    <mergeCell ref="Q16:Q17"/>
    <mergeCell ref="A18:A19"/>
    <mergeCell ref="B18:C19"/>
    <mergeCell ref="D18:E19"/>
    <mergeCell ref="F18:F19"/>
    <mergeCell ref="G18:H19"/>
    <mergeCell ref="I18:J19"/>
    <mergeCell ref="K18:K19"/>
    <mergeCell ref="L18:L19"/>
    <mergeCell ref="M18:M19"/>
    <mergeCell ref="K16:K17"/>
    <mergeCell ref="L16:L17"/>
    <mergeCell ref="M16:M17"/>
    <mergeCell ref="N16:N17"/>
    <mergeCell ref="O16:O17"/>
    <mergeCell ref="P16:P17"/>
    <mergeCell ref="A16:A17"/>
    <mergeCell ref="B16:C17"/>
    <mergeCell ref="A14:A15"/>
    <mergeCell ref="B14:C15"/>
    <mergeCell ref="D14:E15"/>
    <mergeCell ref="F14:F15"/>
    <mergeCell ref="G14:H15"/>
    <mergeCell ref="I14:J15"/>
    <mergeCell ref="K14:K15"/>
    <mergeCell ref="A12:A13"/>
    <mergeCell ref="B12:C13"/>
    <mergeCell ref="D12:E13"/>
    <mergeCell ref="F12:J12"/>
    <mergeCell ref="K12:O12"/>
    <mergeCell ref="L14:L15"/>
    <mergeCell ref="M14:M15"/>
    <mergeCell ref="N14:N15"/>
    <mergeCell ref="O14:O15"/>
    <mergeCell ref="A11:B11"/>
    <mergeCell ref="D11:E11"/>
    <mergeCell ref="F11:G11"/>
    <mergeCell ref="H11:J11"/>
    <mergeCell ref="K11:L11"/>
    <mergeCell ref="M11:O11"/>
    <mergeCell ref="A8:P8"/>
    <mergeCell ref="A9:G9"/>
    <mergeCell ref="H9:Q9"/>
    <mergeCell ref="A10:B10"/>
    <mergeCell ref="D10:E10"/>
    <mergeCell ref="F10:G10"/>
    <mergeCell ref="H10:J10"/>
    <mergeCell ref="K10:L10"/>
    <mergeCell ref="M10:O10"/>
    <mergeCell ref="M5:P5"/>
    <mergeCell ref="A6:B6"/>
    <mergeCell ref="C6:H6"/>
    <mergeCell ref="I6:L6"/>
    <mergeCell ref="M6:P6"/>
    <mergeCell ref="A7:P7"/>
    <mergeCell ref="A4:B4"/>
    <mergeCell ref="D4:F4"/>
    <mergeCell ref="G4:H4"/>
    <mergeCell ref="A5:B5"/>
    <mergeCell ref="C5:H5"/>
    <mergeCell ref="I5:L5"/>
    <mergeCell ref="A1:Q2"/>
    <mergeCell ref="A3:B3"/>
    <mergeCell ref="D3:F3"/>
    <mergeCell ref="G3:H3"/>
    <mergeCell ref="I3:I4"/>
    <mergeCell ref="J3:K4"/>
    <mergeCell ref="L3:L4"/>
    <mergeCell ref="M3:N4"/>
    <mergeCell ref="O3:O4"/>
    <mergeCell ref="P3:P4"/>
    <mergeCell ref="Q62:Q63"/>
    <mergeCell ref="M58:M59"/>
    <mergeCell ref="N58:N59"/>
    <mergeCell ref="O58:O59"/>
    <mergeCell ref="P58:P59"/>
    <mergeCell ref="Q58:Q59"/>
    <mergeCell ref="I50:J51"/>
    <mergeCell ref="K50:K51"/>
    <mergeCell ref="L50:L51"/>
    <mergeCell ref="M50:M51"/>
    <mergeCell ref="N50:N51"/>
    <mergeCell ref="O50:O51"/>
    <mergeCell ref="P50:P51"/>
    <mergeCell ref="Q50:Q51"/>
    <mergeCell ref="Q60:Q61"/>
    <mergeCell ref="K60:K61"/>
    <mergeCell ref="L60:L61"/>
    <mergeCell ref="M60:M61"/>
    <mergeCell ref="N60:N61"/>
    <mergeCell ref="O60:O61"/>
    <mergeCell ref="P60:P61"/>
    <mergeCell ref="M62:M63"/>
    <mergeCell ref="N62:N63"/>
    <mergeCell ref="O62:O63"/>
    <mergeCell ref="L52:L53"/>
    <mergeCell ref="M52:M53"/>
    <mergeCell ref="A50:A51"/>
    <mergeCell ref="B50:C51"/>
    <mergeCell ref="D50:E51"/>
    <mergeCell ref="F58:F59"/>
    <mergeCell ref="G58:H59"/>
    <mergeCell ref="I58:J59"/>
    <mergeCell ref="K58:K59"/>
    <mergeCell ref="L58:L59"/>
    <mergeCell ref="F50:F51"/>
    <mergeCell ref="G50:H51"/>
    <mergeCell ref="N52:N53"/>
    <mergeCell ref="O52:O53"/>
    <mergeCell ref="P52:P53"/>
    <mergeCell ref="Q52:Q53"/>
    <mergeCell ref="A54:A55"/>
    <mergeCell ref="B54:C55"/>
    <mergeCell ref="D54:E55"/>
    <mergeCell ref="F54:F55"/>
    <mergeCell ref="G54:H55"/>
    <mergeCell ref="I54:J55"/>
    <mergeCell ref="K54:K55"/>
    <mergeCell ref="L54:L55"/>
    <mergeCell ref="M54:M55"/>
    <mergeCell ref="N54:N55"/>
    <mergeCell ref="O54:O55"/>
    <mergeCell ref="P54:P55"/>
    <mergeCell ref="Q54:Q55"/>
    <mergeCell ref="A52:A53"/>
    <mergeCell ref="B52:C53"/>
    <mergeCell ref="D52:E53"/>
    <mergeCell ref="F52:F53"/>
    <mergeCell ref="G52:H53"/>
    <mergeCell ref="I52:J53"/>
    <mergeCell ref="K52:K53"/>
    <mergeCell ref="N56:N57"/>
    <mergeCell ref="O56:O57"/>
    <mergeCell ref="P56:P57"/>
    <mergeCell ref="Q56:Q57"/>
    <mergeCell ref="A56:A57"/>
    <mergeCell ref="B56:C57"/>
    <mergeCell ref="D56:E57"/>
    <mergeCell ref="F56:F57"/>
    <mergeCell ref="G56:H57"/>
    <mergeCell ref="I56:J57"/>
    <mergeCell ref="K56:K57"/>
    <mergeCell ref="L56:L57"/>
    <mergeCell ref="M56:M57"/>
  </mergeCells>
  <conditionalFormatting sqref="D4:F4">
    <cfRule type="cellIs" dxfId="25" priority="5" stopIfTrue="1" operator="equal">
      <formula>0</formula>
    </cfRule>
  </conditionalFormatting>
  <conditionalFormatting sqref="Q8">
    <cfRule type="expression" dxfId="24" priority="4">
      <formula>Q8=""</formula>
    </cfRule>
  </conditionalFormatting>
  <conditionalFormatting sqref="Q6">
    <cfRule type="expression" dxfId="23" priority="3">
      <formula>Q6=""</formula>
    </cfRule>
  </conditionalFormatting>
  <conditionalFormatting sqref="A14:A15">
    <cfRule type="expression" dxfId="22" priority="1">
      <formula>$A$14=""</formula>
    </cfRule>
    <cfRule type="cellIs" dxfId="21" priority="2" operator="equal">
      <formula>""""""</formula>
    </cfRule>
  </conditionalFormatting>
  <pageMargins left="0.39370078740157483" right="0.19685039370078741" top="0.23622047244094488" bottom="0.15748031496062992" header="0.43307086614173229" footer="0.15748031496062992"/>
  <pageSetup paperSize="9" scale="70" fitToHeight="0" orientation="landscape" r:id="rId1"/>
  <headerFooter alignWithMargins="0">
    <oddFooter>&amp;LForm152- Rev 05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DADOS!$A$2:$A$4</xm:f>
          </x14:formula1>
          <xm:sqref>P14:P63</xm:sqref>
        </x14:dataValidation>
        <x14:dataValidation type="list" allowBlank="1" showInputMessage="1" showErrorMessage="1">
          <x14:formula1>
            <xm:f>OFFSET(DADOS!$B$1,1,,COUNTA(DADOS!$B:$B)-1)</xm:f>
          </x14:formula1>
          <xm:sqref>B14:C15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>
    <tabColor theme="3" tint="0.79998168889431442"/>
    <pageSetUpPr fitToPage="1"/>
  </sheetPr>
  <dimension ref="A1:Q53"/>
  <sheetViews>
    <sheetView showGridLines="0" view="pageBreakPreview" zoomScale="85" zoomScaleNormal="85" zoomScaleSheetLayoutView="85" workbookViewId="0">
      <selection activeCell="A14" sqref="A14:A15"/>
    </sheetView>
  </sheetViews>
  <sheetFormatPr defaultRowHeight="12.75"/>
  <cols>
    <col min="1" max="1" width="15.7109375" customWidth="1"/>
    <col min="2" max="2" width="10.85546875" customWidth="1"/>
    <col min="3" max="3" width="12.42578125" customWidth="1"/>
    <col min="5" max="5" width="5.85546875" customWidth="1"/>
    <col min="6" max="6" width="6.140625" customWidth="1"/>
    <col min="7" max="7" width="8.5703125" customWidth="1"/>
    <col min="8" max="8" width="12.140625" customWidth="1"/>
    <col min="10" max="10" width="7" customWidth="1"/>
    <col min="11" max="11" width="20" customWidth="1"/>
    <col min="12" max="12" width="15.7109375" customWidth="1"/>
    <col min="13" max="13" width="9" customWidth="1"/>
    <col min="14" max="14" width="18" customWidth="1"/>
    <col min="15" max="15" width="11.140625" customWidth="1"/>
    <col min="16" max="16" width="14.28515625" customWidth="1"/>
    <col min="17" max="17" width="15.42578125" customWidth="1"/>
  </cols>
  <sheetData>
    <row r="1" spans="1:17" ht="12.75" customHeight="1">
      <c r="A1" s="212" t="s">
        <v>0</v>
      </c>
      <c r="B1" s="213"/>
      <c r="C1" s="213"/>
      <c r="D1" s="213"/>
      <c r="E1" s="213"/>
      <c r="F1" s="213"/>
      <c r="G1" s="213"/>
      <c r="H1" s="213"/>
      <c r="I1" s="213"/>
      <c r="J1" s="213"/>
      <c r="K1" s="213"/>
      <c r="L1" s="213"/>
      <c r="M1" s="213"/>
      <c r="N1" s="213"/>
      <c r="O1" s="213"/>
      <c r="P1" s="213"/>
      <c r="Q1" s="214"/>
    </row>
    <row r="2" spans="1:17" ht="13.5" customHeight="1" thickBot="1">
      <c r="A2" s="215"/>
      <c r="B2" s="216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7"/>
    </row>
    <row r="3" spans="1:17" ht="12.75" customHeight="1">
      <c r="A3" s="218" t="s">
        <v>1</v>
      </c>
      <c r="B3" s="219"/>
      <c r="C3" s="3" t="s">
        <v>34</v>
      </c>
      <c r="D3" s="220" t="s">
        <v>2</v>
      </c>
      <c r="E3" s="220"/>
      <c r="F3" s="220"/>
      <c r="G3" s="221" t="s">
        <v>33</v>
      </c>
      <c r="H3" s="222"/>
      <c r="I3" s="262" t="str">
        <f>IF('MATERIA PRIMA'!I3:I4="","",'MATERIA PRIMA'!I3:I4)</f>
        <v/>
      </c>
      <c r="J3" s="244" t="s">
        <v>708</v>
      </c>
      <c r="K3" s="244"/>
      <c r="L3" s="271" t="str">
        <f>IF('MATERIA PRIMA'!L3:L4="","",'MATERIA PRIMA'!L3:L4)</f>
        <v/>
      </c>
      <c r="M3" s="248" t="s">
        <v>710</v>
      </c>
      <c r="N3" s="248"/>
      <c r="O3" s="271" t="str">
        <f>IF('MATERIA PRIMA'!O3:O4="","",'MATERIA PRIMA'!O3:O4)</f>
        <v>X</v>
      </c>
      <c r="P3" s="250" t="s">
        <v>22</v>
      </c>
      <c r="Q3" s="26" t="s">
        <v>4</v>
      </c>
    </row>
    <row r="4" spans="1:17" ht="12.75" customHeight="1">
      <c r="A4" s="277" t="str">
        <f>IF('MATERIA PRIMA'!A4:B4="","",'MATERIA PRIMA'!A4:B4)</f>
        <v/>
      </c>
      <c r="B4" s="278"/>
      <c r="C4" s="27" t="str">
        <f>IF('MATERIA PRIMA'!C4="","",'MATERIA PRIMA'!C4)</f>
        <v/>
      </c>
      <c r="D4" s="279" t="str">
        <f>IF('MATERIA PRIMA'!D4:F4="","",'MATERIA PRIMA'!D4:F4)</f>
        <v/>
      </c>
      <c r="E4" s="280"/>
      <c r="F4" s="280"/>
      <c r="G4" s="239" t="str">
        <f>IF('MATERIA PRIMA'!G4:H4="","",'MATERIA PRIMA'!G4:H4)</f>
        <v/>
      </c>
      <c r="H4" s="241"/>
      <c r="I4" s="263"/>
      <c r="J4" s="245"/>
      <c r="K4" s="245"/>
      <c r="L4" s="272"/>
      <c r="M4" s="249"/>
      <c r="N4" s="249"/>
      <c r="O4" s="272"/>
      <c r="P4" s="251"/>
      <c r="Q4" s="56">
        <f ca="1">_xlfn.SHEET()</f>
        <v>6</v>
      </c>
    </row>
    <row r="5" spans="1:17" ht="16.5" customHeight="1">
      <c r="A5" s="228" t="s">
        <v>21</v>
      </c>
      <c r="B5" s="229"/>
      <c r="C5" s="227" t="s">
        <v>3</v>
      </c>
      <c r="D5" s="191"/>
      <c r="E5" s="191"/>
      <c r="F5" s="191"/>
      <c r="G5" s="191"/>
      <c r="H5" s="192"/>
      <c r="I5" s="227" t="s">
        <v>5</v>
      </c>
      <c r="J5" s="191"/>
      <c r="K5" s="191"/>
      <c r="L5" s="192"/>
      <c r="M5" s="227" t="s">
        <v>29</v>
      </c>
      <c r="N5" s="191"/>
      <c r="O5" s="191"/>
      <c r="P5" s="192"/>
      <c r="Q5" s="28" t="s">
        <v>7</v>
      </c>
    </row>
    <row r="6" spans="1:17" ht="13.5" customHeight="1">
      <c r="A6" s="273" t="str">
        <f>IF('MATERIA PRIMA'!A6:B6="","",'MATERIA PRIMA'!A6:B6)</f>
        <v/>
      </c>
      <c r="B6" s="274"/>
      <c r="C6" s="275" t="str">
        <f>IF('MATERIA PRIMA'!C6:H6="","",'MATERIA PRIMA'!C6:H6)</f>
        <v/>
      </c>
      <c r="D6" s="276"/>
      <c r="E6" s="276"/>
      <c r="F6" s="276"/>
      <c r="G6" s="276"/>
      <c r="H6" s="274"/>
      <c r="I6" s="239" t="s">
        <v>6</v>
      </c>
      <c r="J6" s="240"/>
      <c r="K6" s="240"/>
      <c r="L6" s="241"/>
      <c r="M6" s="275" t="str">
        <f>IF('MATERIA PRIMA'!M6:P6="","",'MATERIA PRIMA'!M6:P6)</f>
        <v/>
      </c>
      <c r="N6" s="276"/>
      <c r="O6" s="276"/>
      <c r="P6" s="274"/>
      <c r="Q6" s="38" t="str">
        <f>IF('MATERIA PRIMA'!Q6="","",'MATERIA PRIMA'!Q6)</f>
        <v/>
      </c>
    </row>
    <row r="7" spans="1:17">
      <c r="A7" s="190" t="s">
        <v>28</v>
      </c>
      <c r="B7" s="191"/>
      <c r="C7" s="191"/>
      <c r="D7" s="191"/>
      <c r="E7" s="191"/>
      <c r="F7" s="191"/>
      <c r="G7" s="191"/>
      <c r="H7" s="191"/>
      <c r="I7" s="191"/>
      <c r="J7" s="191"/>
      <c r="K7" s="191"/>
      <c r="L7" s="191"/>
      <c r="M7" s="191"/>
      <c r="N7" s="191"/>
      <c r="O7" s="191"/>
      <c r="P7" s="192"/>
      <c r="Q7" s="28" t="s">
        <v>8</v>
      </c>
    </row>
    <row r="8" spans="1:17" ht="17.25" customHeight="1">
      <c r="A8" s="266" t="str">
        <f>IF('MATERIA PRIMA'!A8:P8="","",'MATERIA PRIMA'!A8:P8)</f>
        <v/>
      </c>
      <c r="B8" s="267"/>
      <c r="C8" s="267"/>
      <c r="D8" s="267"/>
      <c r="E8" s="267"/>
      <c r="F8" s="267"/>
      <c r="G8" s="267"/>
      <c r="H8" s="267"/>
      <c r="I8" s="267"/>
      <c r="J8" s="267"/>
      <c r="K8" s="267"/>
      <c r="L8" s="267"/>
      <c r="M8" s="267"/>
      <c r="N8" s="267"/>
      <c r="O8" s="267"/>
      <c r="P8" s="268"/>
      <c r="Q8" s="38" t="str">
        <f>IF('MATERIA PRIMA'!Q8="","",'MATERIA PRIMA'!Q8)</f>
        <v/>
      </c>
    </row>
    <row r="9" spans="1:17" ht="14.25" customHeight="1">
      <c r="A9" s="208" t="s">
        <v>9</v>
      </c>
      <c r="B9" s="223"/>
      <c r="C9" s="223"/>
      <c r="D9" s="223"/>
      <c r="E9" s="223"/>
      <c r="F9" s="223"/>
      <c r="G9" s="186"/>
      <c r="H9" s="224" t="s">
        <v>26</v>
      </c>
      <c r="I9" s="225"/>
      <c r="J9" s="225"/>
      <c r="K9" s="225"/>
      <c r="L9" s="225"/>
      <c r="M9" s="225"/>
      <c r="N9" s="225"/>
      <c r="O9" s="225"/>
      <c r="P9" s="225"/>
      <c r="Q9" s="226"/>
    </row>
    <row r="10" spans="1:17">
      <c r="A10" s="208" t="s">
        <v>10</v>
      </c>
      <c r="B10" s="186"/>
      <c r="C10" s="36" t="s">
        <v>11</v>
      </c>
      <c r="D10" s="185" t="s">
        <v>12</v>
      </c>
      <c r="E10" s="186"/>
      <c r="F10" s="185" t="s">
        <v>11</v>
      </c>
      <c r="G10" s="186"/>
      <c r="H10" s="196"/>
      <c r="I10" s="197"/>
      <c r="J10" s="198"/>
      <c r="K10" s="185" t="s">
        <v>11</v>
      </c>
      <c r="L10" s="186"/>
      <c r="M10" s="187"/>
      <c r="N10" s="188"/>
      <c r="O10" s="189"/>
      <c r="P10" s="46"/>
      <c r="Q10" s="2" t="s">
        <v>11</v>
      </c>
    </row>
    <row r="11" spans="1:17" ht="13.5" thickBot="1">
      <c r="A11" s="202"/>
      <c r="B11" s="203"/>
      <c r="C11" s="60"/>
      <c r="D11" s="204"/>
      <c r="E11" s="203"/>
      <c r="F11" s="204"/>
      <c r="G11" s="203"/>
      <c r="H11" s="209"/>
      <c r="I11" s="210"/>
      <c r="J11" s="211"/>
      <c r="K11" s="204"/>
      <c r="L11" s="203"/>
      <c r="M11" s="205"/>
      <c r="N11" s="206"/>
      <c r="O11" s="207"/>
      <c r="P11" s="61"/>
      <c r="Q11" s="62"/>
    </row>
    <row r="12" spans="1:17" ht="12.75" customHeight="1">
      <c r="A12" s="252" t="s">
        <v>31</v>
      </c>
      <c r="B12" s="254" t="s">
        <v>15</v>
      </c>
      <c r="C12" s="255"/>
      <c r="D12" s="254" t="s">
        <v>16</v>
      </c>
      <c r="E12" s="255"/>
      <c r="F12" s="258" t="s">
        <v>20</v>
      </c>
      <c r="G12" s="258"/>
      <c r="H12" s="258"/>
      <c r="I12" s="258"/>
      <c r="J12" s="258"/>
      <c r="K12" s="199" t="s">
        <v>23</v>
      </c>
      <c r="L12" s="199"/>
      <c r="M12" s="199"/>
      <c r="N12" s="199"/>
      <c r="O12" s="199"/>
      <c r="P12" s="200" t="s">
        <v>32</v>
      </c>
      <c r="Q12" s="172" t="s">
        <v>13</v>
      </c>
    </row>
    <row r="13" spans="1:17" ht="22.5">
      <c r="A13" s="253"/>
      <c r="B13" s="256"/>
      <c r="C13" s="257"/>
      <c r="D13" s="256"/>
      <c r="E13" s="257"/>
      <c r="F13" s="80" t="s">
        <v>17</v>
      </c>
      <c r="G13" s="174" t="s">
        <v>18</v>
      </c>
      <c r="H13" s="174"/>
      <c r="I13" s="174" t="s">
        <v>19</v>
      </c>
      <c r="J13" s="174"/>
      <c r="K13" s="1" t="s">
        <v>25</v>
      </c>
      <c r="L13" s="1" t="s">
        <v>30</v>
      </c>
      <c r="M13" s="1" t="s">
        <v>24</v>
      </c>
      <c r="N13" s="1" t="s">
        <v>27</v>
      </c>
      <c r="O13" s="1" t="s">
        <v>14</v>
      </c>
      <c r="P13" s="201"/>
      <c r="Q13" s="173"/>
    </row>
    <row r="14" spans="1:17" ht="12.75" customHeight="1">
      <c r="A14" s="164"/>
      <c r="B14" s="137" t="s">
        <v>36</v>
      </c>
      <c r="C14" s="137"/>
      <c r="D14" s="138"/>
      <c r="E14" s="139"/>
      <c r="F14" s="150" t="str">
        <f>IF(G14&lt;&gt;"",$A$14&amp;"."&amp;(ROW(G14)-12)/2,"")</f>
        <v>.1</v>
      </c>
      <c r="G14" s="137" t="s">
        <v>37</v>
      </c>
      <c r="H14" s="137"/>
      <c r="I14" s="165"/>
      <c r="J14" s="165"/>
      <c r="K14" s="146" t="s">
        <v>40</v>
      </c>
      <c r="L14" s="146" t="s">
        <v>38</v>
      </c>
      <c r="M14" s="146" t="s">
        <v>40</v>
      </c>
      <c r="N14" s="146" t="s">
        <v>35</v>
      </c>
      <c r="O14" s="146" t="s">
        <v>41</v>
      </c>
      <c r="P14" s="166"/>
      <c r="Q14" s="307" t="s">
        <v>42</v>
      </c>
    </row>
    <row r="15" spans="1:17">
      <c r="A15" s="164"/>
      <c r="B15" s="137"/>
      <c r="C15" s="137"/>
      <c r="D15" s="140"/>
      <c r="E15" s="141"/>
      <c r="F15" s="150"/>
      <c r="G15" s="137"/>
      <c r="H15" s="137"/>
      <c r="I15" s="165"/>
      <c r="J15" s="165"/>
      <c r="K15" s="147"/>
      <c r="L15" s="147"/>
      <c r="M15" s="147"/>
      <c r="N15" s="147"/>
      <c r="O15" s="147"/>
      <c r="P15" s="167"/>
      <c r="Q15" s="308"/>
    </row>
    <row r="16" spans="1:17" ht="12.75" customHeight="1">
      <c r="A16" s="164"/>
      <c r="B16" s="165"/>
      <c r="C16" s="165"/>
      <c r="D16" s="165"/>
      <c r="E16" s="165"/>
      <c r="F16" s="150" t="str">
        <f>IF(G16&lt;&gt;"",$A$14&amp;"."&amp;(ROW(G16)-12)/2,"")</f>
        <v>.2</v>
      </c>
      <c r="G16" s="137" t="s">
        <v>58</v>
      </c>
      <c r="H16" s="137"/>
      <c r="I16" s="165"/>
      <c r="J16" s="165"/>
      <c r="K16" s="146" t="s">
        <v>40</v>
      </c>
      <c r="L16" s="146" t="s">
        <v>38</v>
      </c>
      <c r="M16" s="146" t="s">
        <v>40</v>
      </c>
      <c r="N16" s="146" t="s">
        <v>35</v>
      </c>
      <c r="O16" s="146" t="s">
        <v>41</v>
      </c>
      <c r="P16" s="418"/>
      <c r="Q16" s="307" t="s">
        <v>42</v>
      </c>
    </row>
    <row r="17" spans="1:17">
      <c r="A17" s="164"/>
      <c r="B17" s="165"/>
      <c r="C17" s="165"/>
      <c r="D17" s="165"/>
      <c r="E17" s="165"/>
      <c r="F17" s="150"/>
      <c r="G17" s="137"/>
      <c r="H17" s="137"/>
      <c r="I17" s="165"/>
      <c r="J17" s="165"/>
      <c r="K17" s="147"/>
      <c r="L17" s="147"/>
      <c r="M17" s="147"/>
      <c r="N17" s="147"/>
      <c r="O17" s="147"/>
      <c r="P17" s="419"/>
      <c r="Q17" s="308"/>
    </row>
    <row r="18" spans="1:17" ht="12.75" customHeight="1">
      <c r="A18" s="164"/>
      <c r="B18" s="165"/>
      <c r="C18" s="165"/>
      <c r="D18" s="165"/>
      <c r="E18" s="165"/>
      <c r="F18" s="150" t="str">
        <f>IF(G18&lt;&gt;"",$A$14&amp;"."&amp;(ROW(G18)-12)/2,"")</f>
        <v>.3</v>
      </c>
      <c r="G18" s="137" t="s">
        <v>60</v>
      </c>
      <c r="H18" s="137"/>
      <c r="I18" s="165"/>
      <c r="J18" s="165"/>
      <c r="K18" s="146" t="s">
        <v>61</v>
      </c>
      <c r="L18" s="146" t="s">
        <v>62</v>
      </c>
      <c r="M18" s="146" t="s">
        <v>40</v>
      </c>
      <c r="N18" s="146" t="s">
        <v>35</v>
      </c>
      <c r="O18" s="146" t="s">
        <v>41</v>
      </c>
      <c r="P18" s="166"/>
      <c r="Q18" s="307" t="s">
        <v>42</v>
      </c>
    </row>
    <row r="19" spans="1:17">
      <c r="A19" s="164"/>
      <c r="B19" s="165"/>
      <c r="C19" s="165"/>
      <c r="D19" s="165"/>
      <c r="E19" s="165"/>
      <c r="F19" s="150"/>
      <c r="G19" s="137"/>
      <c r="H19" s="137"/>
      <c r="I19" s="165"/>
      <c r="J19" s="165"/>
      <c r="K19" s="147"/>
      <c r="L19" s="147"/>
      <c r="M19" s="147"/>
      <c r="N19" s="147"/>
      <c r="O19" s="147"/>
      <c r="P19" s="167"/>
      <c r="Q19" s="308"/>
    </row>
    <row r="20" spans="1:17" ht="12.75" customHeight="1">
      <c r="A20" s="164"/>
      <c r="B20" s="165"/>
      <c r="C20" s="165"/>
      <c r="D20" s="165"/>
      <c r="E20" s="165"/>
      <c r="F20" s="150" t="str">
        <f>IF(G20&lt;&gt;"",$A$14&amp;"."&amp;(ROW(G20)-12)/2,"")</f>
        <v>.4</v>
      </c>
      <c r="G20" s="137" t="s">
        <v>59</v>
      </c>
      <c r="H20" s="137"/>
      <c r="I20" s="165"/>
      <c r="J20" s="165"/>
      <c r="K20" s="146" t="s">
        <v>61</v>
      </c>
      <c r="L20" s="146" t="s">
        <v>62</v>
      </c>
      <c r="M20" s="146" t="s">
        <v>40</v>
      </c>
      <c r="N20" s="146" t="s">
        <v>35</v>
      </c>
      <c r="O20" s="146" t="s">
        <v>41</v>
      </c>
      <c r="P20" s="166"/>
      <c r="Q20" s="307" t="s">
        <v>42</v>
      </c>
    </row>
    <row r="21" spans="1:17">
      <c r="A21" s="164"/>
      <c r="B21" s="165"/>
      <c r="C21" s="165"/>
      <c r="D21" s="165"/>
      <c r="E21" s="165"/>
      <c r="F21" s="150"/>
      <c r="G21" s="137"/>
      <c r="H21" s="137"/>
      <c r="I21" s="165"/>
      <c r="J21" s="165"/>
      <c r="K21" s="147"/>
      <c r="L21" s="147"/>
      <c r="M21" s="147"/>
      <c r="N21" s="147"/>
      <c r="O21" s="147"/>
      <c r="P21" s="167"/>
      <c r="Q21" s="308"/>
    </row>
    <row r="22" spans="1:17" ht="12.75" customHeight="1">
      <c r="A22" s="164"/>
      <c r="B22" s="165"/>
      <c r="C22" s="165"/>
      <c r="D22" s="165"/>
      <c r="E22" s="165"/>
      <c r="F22" s="150" t="str">
        <f>IF(G22&lt;&gt;"",$A$14&amp;"."&amp;(ROW(G22)-12)/2,"")</f>
        <v/>
      </c>
      <c r="G22" s="137"/>
      <c r="H22" s="137"/>
      <c r="I22" s="165"/>
      <c r="J22" s="165"/>
      <c r="K22" s="146"/>
      <c r="L22" s="146"/>
      <c r="M22" s="166"/>
      <c r="N22" s="146"/>
      <c r="O22" s="179"/>
      <c r="P22" s="166"/>
      <c r="Q22" s="307"/>
    </row>
    <row r="23" spans="1:17">
      <c r="A23" s="164"/>
      <c r="B23" s="165"/>
      <c r="C23" s="165"/>
      <c r="D23" s="165"/>
      <c r="E23" s="165"/>
      <c r="F23" s="150"/>
      <c r="G23" s="137"/>
      <c r="H23" s="137"/>
      <c r="I23" s="165"/>
      <c r="J23" s="165"/>
      <c r="K23" s="147"/>
      <c r="L23" s="147"/>
      <c r="M23" s="167"/>
      <c r="N23" s="147"/>
      <c r="O23" s="180"/>
      <c r="P23" s="167"/>
      <c r="Q23" s="308"/>
    </row>
    <row r="24" spans="1:17" ht="12.75" customHeight="1">
      <c r="A24" s="394"/>
      <c r="B24" s="395"/>
      <c r="C24" s="395"/>
      <c r="D24" s="395"/>
      <c r="E24" s="395"/>
      <c r="F24" s="396" t="str">
        <f>IF(G24&lt;&gt;"",$A$14&amp;"."&amp;(ROW(G24)-12)/2,"")</f>
        <v/>
      </c>
      <c r="G24" s="411"/>
      <c r="H24" s="411"/>
      <c r="I24" s="395"/>
      <c r="J24" s="395"/>
      <c r="K24" s="412"/>
      <c r="L24" s="412"/>
      <c r="M24" s="414"/>
      <c r="N24" s="412"/>
      <c r="O24" s="409"/>
      <c r="P24" s="414"/>
      <c r="Q24" s="416"/>
    </row>
    <row r="25" spans="1:17">
      <c r="A25" s="394"/>
      <c r="B25" s="395"/>
      <c r="C25" s="395"/>
      <c r="D25" s="395"/>
      <c r="E25" s="395"/>
      <c r="F25" s="396"/>
      <c r="G25" s="411"/>
      <c r="H25" s="411"/>
      <c r="I25" s="395"/>
      <c r="J25" s="395"/>
      <c r="K25" s="413"/>
      <c r="L25" s="413"/>
      <c r="M25" s="415"/>
      <c r="N25" s="413"/>
      <c r="O25" s="410"/>
      <c r="P25" s="415"/>
      <c r="Q25" s="417"/>
    </row>
    <row r="26" spans="1:17" ht="12.75" customHeight="1">
      <c r="A26" s="164"/>
      <c r="B26" s="165"/>
      <c r="C26" s="165"/>
      <c r="D26" s="165"/>
      <c r="E26" s="165"/>
      <c r="F26" s="150" t="str">
        <f>IF(G26&lt;&gt;"",$A$14&amp;"."&amp;(ROW(G26)-12)/2,"")</f>
        <v/>
      </c>
      <c r="G26" s="137"/>
      <c r="H26" s="137"/>
      <c r="I26" s="165"/>
      <c r="J26" s="165"/>
      <c r="K26" s="146"/>
      <c r="L26" s="146"/>
      <c r="M26" s="166"/>
      <c r="N26" s="146"/>
      <c r="O26" s="179"/>
      <c r="P26" s="402"/>
      <c r="Q26" s="307"/>
    </row>
    <row r="27" spans="1:17" ht="12.75" customHeight="1">
      <c r="A27" s="164"/>
      <c r="B27" s="165"/>
      <c r="C27" s="165"/>
      <c r="D27" s="165"/>
      <c r="E27" s="165"/>
      <c r="F27" s="150"/>
      <c r="G27" s="137"/>
      <c r="H27" s="137"/>
      <c r="I27" s="165"/>
      <c r="J27" s="165"/>
      <c r="K27" s="147"/>
      <c r="L27" s="147"/>
      <c r="M27" s="167"/>
      <c r="N27" s="147"/>
      <c r="O27" s="180"/>
      <c r="P27" s="403"/>
      <c r="Q27" s="308"/>
    </row>
    <row r="28" spans="1:17" ht="12.75" customHeight="1">
      <c r="A28" s="385"/>
      <c r="B28" s="386" t="s">
        <v>746</v>
      </c>
      <c r="C28" s="387"/>
      <c r="D28" s="390"/>
      <c r="E28" s="391"/>
      <c r="F28" s="407"/>
      <c r="G28" s="386" t="s">
        <v>740</v>
      </c>
      <c r="H28" s="387"/>
      <c r="I28" s="390"/>
      <c r="J28" s="391"/>
      <c r="K28" s="398" t="s">
        <v>741</v>
      </c>
      <c r="L28" s="398" t="s">
        <v>742</v>
      </c>
      <c r="M28" s="400" t="s">
        <v>743</v>
      </c>
      <c r="N28" s="404" t="s">
        <v>745</v>
      </c>
      <c r="O28" s="400" t="s">
        <v>744</v>
      </c>
      <c r="P28" s="166"/>
      <c r="Q28" s="307"/>
    </row>
    <row r="29" spans="1:17" ht="35.25" customHeight="1">
      <c r="A29" s="406"/>
      <c r="B29" s="388"/>
      <c r="C29" s="389"/>
      <c r="D29" s="392"/>
      <c r="E29" s="393"/>
      <c r="F29" s="408"/>
      <c r="G29" s="388"/>
      <c r="H29" s="389"/>
      <c r="I29" s="392"/>
      <c r="J29" s="393"/>
      <c r="K29" s="399"/>
      <c r="L29" s="399"/>
      <c r="M29" s="401"/>
      <c r="N29" s="405"/>
      <c r="O29" s="401"/>
      <c r="P29" s="167"/>
      <c r="Q29" s="308"/>
    </row>
    <row r="30" spans="1:17" ht="12.75" customHeight="1">
      <c r="A30" s="164"/>
      <c r="B30" s="165"/>
      <c r="C30" s="165"/>
      <c r="D30" s="165"/>
      <c r="E30" s="165"/>
      <c r="F30" s="150" t="str">
        <f>IF(G30&lt;&gt;"",$A$14&amp;"."&amp;(ROW(G30)-12)/2,"")</f>
        <v/>
      </c>
      <c r="G30" s="138"/>
      <c r="H30" s="139"/>
      <c r="I30" s="142"/>
      <c r="J30" s="143"/>
      <c r="K30" s="146"/>
      <c r="L30" s="146"/>
      <c r="M30" s="166"/>
      <c r="N30" s="146"/>
      <c r="O30" s="179"/>
      <c r="P30" s="166"/>
      <c r="Q30" s="307"/>
    </row>
    <row r="31" spans="1:17">
      <c r="A31" s="164"/>
      <c r="B31" s="165"/>
      <c r="C31" s="165"/>
      <c r="D31" s="165"/>
      <c r="E31" s="165"/>
      <c r="F31" s="150"/>
      <c r="G31" s="140"/>
      <c r="H31" s="141"/>
      <c r="I31" s="144"/>
      <c r="J31" s="145"/>
      <c r="K31" s="147"/>
      <c r="L31" s="147"/>
      <c r="M31" s="167"/>
      <c r="N31" s="147"/>
      <c r="O31" s="180"/>
      <c r="P31" s="167"/>
      <c r="Q31" s="308"/>
    </row>
    <row r="32" spans="1:17">
      <c r="A32" s="164"/>
      <c r="B32" s="165"/>
      <c r="C32" s="165"/>
      <c r="D32" s="165"/>
      <c r="E32" s="165"/>
      <c r="F32" s="150" t="str">
        <f>IF(G32&lt;&gt;"",$A$14&amp;"."&amp;(ROW(G32)-12)/2,"")</f>
        <v/>
      </c>
      <c r="G32" s="137"/>
      <c r="H32" s="137"/>
      <c r="I32" s="165"/>
      <c r="J32" s="165"/>
      <c r="K32" s="146"/>
      <c r="L32" s="165"/>
      <c r="M32" s="166"/>
      <c r="N32" s="146"/>
      <c r="O32" s="179"/>
      <c r="P32" s="166"/>
      <c r="Q32" s="307"/>
    </row>
    <row r="33" spans="1:17">
      <c r="A33" s="164"/>
      <c r="B33" s="165"/>
      <c r="C33" s="165"/>
      <c r="D33" s="165"/>
      <c r="E33" s="165"/>
      <c r="F33" s="150"/>
      <c r="G33" s="137"/>
      <c r="H33" s="137"/>
      <c r="I33" s="165"/>
      <c r="J33" s="165"/>
      <c r="K33" s="147"/>
      <c r="L33" s="165"/>
      <c r="M33" s="167"/>
      <c r="N33" s="147"/>
      <c r="O33" s="180"/>
      <c r="P33" s="167"/>
      <c r="Q33" s="308"/>
    </row>
    <row r="34" spans="1:17">
      <c r="A34" s="164"/>
      <c r="B34" s="165"/>
      <c r="C34" s="165"/>
      <c r="D34" s="165"/>
      <c r="E34" s="165"/>
      <c r="F34" s="150" t="str">
        <f>IF(G34&lt;&gt;"",$A$14&amp;"."&amp;(ROW(G34)-12)/2,"")</f>
        <v/>
      </c>
      <c r="G34" s="138"/>
      <c r="H34" s="139"/>
      <c r="I34" s="397"/>
      <c r="J34" s="397"/>
      <c r="K34" s="146"/>
      <c r="L34" s="146"/>
      <c r="M34" s="165"/>
      <c r="N34" s="146"/>
      <c r="O34" s="165"/>
      <c r="P34" s="165"/>
      <c r="Q34" s="384"/>
    </row>
    <row r="35" spans="1:17">
      <c r="A35" s="164"/>
      <c r="B35" s="165"/>
      <c r="C35" s="165"/>
      <c r="D35" s="165"/>
      <c r="E35" s="165"/>
      <c r="F35" s="150"/>
      <c r="G35" s="140"/>
      <c r="H35" s="141"/>
      <c r="I35" s="397"/>
      <c r="J35" s="397"/>
      <c r="K35" s="147"/>
      <c r="L35" s="147"/>
      <c r="M35" s="165"/>
      <c r="N35" s="147"/>
      <c r="O35" s="165"/>
      <c r="P35" s="165"/>
      <c r="Q35" s="384"/>
    </row>
    <row r="36" spans="1:17">
      <c r="A36" s="164"/>
      <c r="B36" s="165"/>
      <c r="C36" s="165"/>
      <c r="D36" s="165"/>
      <c r="E36" s="165"/>
      <c r="F36" s="150" t="str">
        <f>IF(G36&lt;&gt;"",$A$14&amp;"."&amp;(ROW(G36)-12)/2,"")</f>
        <v/>
      </c>
      <c r="G36" s="138"/>
      <c r="H36" s="139"/>
      <c r="I36" s="165"/>
      <c r="J36" s="165"/>
      <c r="K36" s="146"/>
      <c r="L36" s="146"/>
      <c r="M36" s="165"/>
      <c r="N36" s="146"/>
      <c r="O36" s="165"/>
      <c r="P36" s="165"/>
      <c r="Q36" s="384"/>
    </row>
    <row r="37" spans="1:17">
      <c r="A37" s="164"/>
      <c r="B37" s="165"/>
      <c r="C37" s="165"/>
      <c r="D37" s="165"/>
      <c r="E37" s="165"/>
      <c r="F37" s="150"/>
      <c r="G37" s="140"/>
      <c r="H37" s="141"/>
      <c r="I37" s="165"/>
      <c r="J37" s="165"/>
      <c r="K37" s="147"/>
      <c r="L37" s="147"/>
      <c r="M37" s="165"/>
      <c r="N37" s="147"/>
      <c r="O37" s="165"/>
      <c r="P37" s="165"/>
      <c r="Q37" s="384"/>
    </row>
    <row r="38" spans="1:17">
      <c r="A38" s="164"/>
      <c r="B38" s="165"/>
      <c r="C38" s="165"/>
      <c r="D38" s="165"/>
      <c r="E38" s="165"/>
      <c r="F38" s="150" t="str">
        <f>IF(G38&lt;&gt;"",$A$14&amp;"."&amp;(ROW(G38)-12)/2,"")</f>
        <v/>
      </c>
      <c r="G38" s="137"/>
      <c r="H38" s="137"/>
      <c r="I38" s="165"/>
      <c r="J38" s="165"/>
      <c r="K38" s="146"/>
      <c r="L38" s="165"/>
      <c r="M38" s="165"/>
      <c r="N38" s="146"/>
      <c r="O38" s="165"/>
      <c r="P38" s="165"/>
      <c r="Q38" s="384"/>
    </row>
    <row r="39" spans="1:17">
      <c r="A39" s="164"/>
      <c r="B39" s="165"/>
      <c r="C39" s="165"/>
      <c r="D39" s="165"/>
      <c r="E39" s="165"/>
      <c r="F39" s="150"/>
      <c r="G39" s="137"/>
      <c r="H39" s="137"/>
      <c r="I39" s="165"/>
      <c r="J39" s="165"/>
      <c r="K39" s="147"/>
      <c r="L39" s="165"/>
      <c r="M39" s="165"/>
      <c r="N39" s="147"/>
      <c r="O39" s="165"/>
      <c r="P39" s="165"/>
      <c r="Q39" s="384"/>
    </row>
    <row r="40" spans="1:17">
      <c r="A40" s="164"/>
      <c r="B40" s="165"/>
      <c r="C40" s="165"/>
      <c r="D40" s="165"/>
      <c r="E40" s="165"/>
      <c r="F40" s="150" t="str">
        <f>IF(G40&lt;&gt;"",$A$14&amp;"."&amp;(ROW(G40)-12)/2,"")</f>
        <v/>
      </c>
      <c r="G40" s="137"/>
      <c r="H40" s="137"/>
      <c r="I40" s="165"/>
      <c r="J40" s="165"/>
      <c r="K40" s="165"/>
      <c r="L40" s="165"/>
      <c r="M40" s="165"/>
      <c r="N40" s="165"/>
      <c r="O40" s="165"/>
      <c r="P40" s="165"/>
      <c r="Q40" s="384"/>
    </row>
    <row r="41" spans="1:17">
      <c r="A41" s="385"/>
      <c r="B41" s="166"/>
      <c r="C41" s="166"/>
      <c r="D41" s="166"/>
      <c r="E41" s="166"/>
      <c r="F41" s="150"/>
      <c r="G41" s="146"/>
      <c r="H41" s="146"/>
      <c r="I41" s="166"/>
      <c r="J41" s="166"/>
      <c r="K41" s="166"/>
      <c r="L41" s="166"/>
      <c r="M41" s="166"/>
      <c r="N41" s="166"/>
      <c r="O41" s="166"/>
      <c r="P41" s="166"/>
      <c r="Q41" s="307"/>
    </row>
    <row r="42" spans="1:17">
      <c r="A42" s="420"/>
      <c r="B42" s="364"/>
      <c r="C42" s="364"/>
      <c r="D42" s="364"/>
      <c r="E42" s="364"/>
      <c r="F42" s="150" t="str">
        <f>IF(G42&lt;&gt;"",$A$14&amp;"."&amp;(ROW(G42)-12)/2,"")</f>
        <v/>
      </c>
      <c r="G42" s="382"/>
      <c r="H42" s="382"/>
      <c r="I42" s="380"/>
      <c r="J42" s="380"/>
      <c r="K42" s="380"/>
      <c r="L42" s="380"/>
      <c r="M42" s="380"/>
      <c r="N42" s="380"/>
      <c r="O42" s="380"/>
      <c r="P42" s="380"/>
      <c r="Q42" s="378"/>
    </row>
    <row r="43" spans="1:17">
      <c r="A43" s="420"/>
      <c r="B43" s="364"/>
      <c r="C43" s="364"/>
      <c r="D43" s="364"/>
      <c r="E43" s="364"/>
      <c r="F43" s="150"/>
      <c r="G43" s="382"/>
      <c r="H43" s="382"/>
      <c r="I43" s="380"/>
      <c r="J43" s="380"/>
      <c r="K43" s="380"/>
      <c r="L43" s="380"/>
      <c r="M43" s="380"/>
      <c r="N43" s="380"/>
      <c r="O43" s="380"/>
      <c r="P43" s="380"/>
      <c r="Q43" s="378"/>
    </row>
    <row r="44" spans="1:17">
      <c r="A44" s="421"/>
      <c r="B44" s="380"/>
      <c r="C44" s="380"/>
      <c r="D44" s="380"/>
      <c r="E44" s="380"/>
      <c r="F44" s="150" t="str">
        <f>IF(G44&lt;&gt;"",$A$14&amp;"."&amp;(ROW(G44)-12)/2,"")</f>
        <v/>
      </c>
      <c r="G44" s="382"/>
      <c r="H44" s="382"/>
      <c r="I44" s="380"/>
      <c r="J44" s="380"/>
      <c r="K44" s="380"/>
      <c r="L44" s="380"/>
      <c r="M44" s="380"/>
      <c r="N44" s="380"/>
      <c r="O44" s="380"/>
      <c r="P44" s="380"/>
      <c r="Q44" s="378"/>
    </row>
    <row r="45" spans="1:17" ht="13.5" thickBot="1">
      <c r="A45" s="421"/>
      <c r="B45" s="380"/>
      <c r="C45" s="380"/>
      <c r="D45" s="380"/>
      <c r="E45" s="380"/>
      <c r="F45" s="150"/>
      <c r="G45" s="382"/>
      <c r="H45" s="382"/>
      <c r="I45" s="380"/>
      <c r="J45" s="380"/>
      <c r="K45" s="380"/>
      <c r="L45" s="380"/>
      <c r="M45" s="380"/>
      <c r="N45" s="380"/>
      <c r="O45" s="380"/>
      <c r="P45" s="380"/>
      <c r="Q45" s="378"/>
    </row>
    <row r="46" spans="1:17" ht="20.25" customHeight="1">
      <c r="A46" s="372" t="s">
        <v>53</v>
      </c>
      <c r="B46" s="373"/>
      <c r="C46" s="373"/>
      <c r="D46" s="373"/>
      <c r="E46" s="374"/>
      <c r="F46" s="150" t="str">
        <f>IF(G46&lt;&gt;"",$A$14&amp;"."&amp;(ROW(G46)-12)/2,"")</f>
        <v/>
      </c>
      <c r="G46" s="382"/>
      <c r="H46" s="382"/>
      <c r="I46" s="380"/>
      <c r="J46" s="380"/>
      <c r="K46" s="380"/>
      <c r="L46" s="380"/>
      <c r="M46" s="380"/>
      <c r="N46" s="380"/>
      <c r="O46" s="380"/>
      <c r="P46" s="380"/>
      <c r="Q46" s="378"/>
    </row>
    <row r="47" spans="1:17">
      <c r="A47" s="375"/>
      <c r="B47" s="376"/>
      <c r="C47" s="376"/>
      <c r="D47" s="376"/>
      <c r="E47" s="377"/>
      <c r="F47" s="150"/>
      <c r="G47" s="382"/>
      <c r="H47" s="382"/>
      <c r="I47" s="380"/>
      <c r="J47" s="380"/>
      <c r="K47" s="380"/>
      <c r="L47" s="380"/>
      <c r="M47" s="380"/>
      <c r="N47" s="380"/>
      <c r="O47" s="380"/>
      <c r="P47" s="380"/>
      <c r="Q47" s="378"/>
    </row>
    <row r="48" spans="1:17" ht="15.75">
      <c r="A48" s="87" t="s">
        <v>43</v>
      </c>
      <c r="B48" s="367" t="s">
        <v>54</v>
      </c>
      <c r="C48" s="368"/>
      <c r="D48" s="368"/>
      <c r="E48" s="369"/>
      <c r="F48" s="150" t="str">
        <f>IF(G48&lt;&gt;"",$A$14&amp;"."&amp;(ROW(G48)-12)/2,"")</f>
        <v/>
      </c>
      <c r="G48" s="382"/>
      <c r="H48" s="382"/>
      <c r="I48" s="380"/>
      <c r="J48" s="380"/>
      <c r="K48" s="380"/>
      <c r="L48" s="380"/>
      <c r="M48" s="380"/>
      <c r="N48" s="380"/>
      <c r="O48" s="380"/>
      <c r="P48" s="380"/>
      <c r="Q48" s="378"/>
    </row>
    <row r="49" spans="1:17" ht="15.75">
      <c r="A49" s="87" t="s">
        <v>55</v>
      </c>
      <c r="B49" s="367" t="s">
        <v>56</v>
      </c>
      <c r="C49" s="368"/>
      <c r="D49" s="368"/>
      <c r="E49" s="369"/>
      <c r="F49" s="150"/>
      <c r="G49" s="382"/>
      <c r="H49" s="382"/>
      <c r="I49" s="380"/>
      <c r="J49" s="380"/>
      <c r="K49" s="380"/>
      <c r="L49" s="380"/>
      <c r="M49" s="380"/>
      <c r="N49" s="380"/>
      <c r="O49" s="380"/>
      <c r="P49" s="380"/>
      <c r="Q49" s="378"/>
    </row>
    <row r="50" spans="1:17" ht="15.75">
      <c r="A50" s="87" t="s">
        <v>52</v>
      </c>
      <c r="B50" s="367" t="s">
        <v>57</v>
      </c>
      <c r="C50" s="368"/>
      <c r="D50" s="368"/>
      <c r="E50" s="369"/>
      <c r="F50" s="293" t="str">
        <f>IF(G50&lt;&gt;"",$A$14&amp;"."&amp;(ROW(G50)-12)/2,"")</f>
        <v/>
      </c>
      <c r="G50" s="382"/>
      <c r="H50" s="382"/>
      <c r="I50" s="380"/>
      <c r="J50" s="380"/>
      <c r="K50" s="380"/>
      <c r="L50" s="380"/>
      <c r="M50" s="380"/>
      <c r="N50" s="380"/>
      <c r="O50" s="380"/>
      <c r="P50" s="380"/>
      <c r="Q50" s="378"/>
    </row>
    <row r="51" spans="1:17" ht="13.5" thickBot="1">
      <c r="A51" s="84"/>
      <c r="B51" s="85"/>
      <c r="C51" s="85"/>
      <c r="D51" s="85"/>
      <c r="E51" s="86"/>
      <c r="F51" s="294"/>
      <c r="G51" s="383"/>
      <c r="H51" s="383"/>
      <c r="I51" s="381"/>
      <c r="J51" s="381"/>
      <c r="K51" s="381"/>
      <c r="L51" s="381"/>
      <c r="M51" s="381"/>
      <c r="N51" s="381"/>
      <c r="O51" s="381"/>
      <c r="P51" s="381"/>
      <c r="Q51" s="379"/>
    </row>
    <row r="52" spans="1:17">
      <c r="A52" s="88"/>
      <c r="B52" s="88"/>
      <c r="C52" s="88"/>
      <c r="D52" s="88"/>
      <c r="E52" s="88"/>
    </row>
    <row r="53" spans="1:17">
      <c r="A53" s="88"/>
      <c r="B53" s="88"/>
      <c r="C53" s="88"/>
      <c r="D53" s="88"/>
      <c r="E53" s="88"/>
    </row>
  </sheetData>
  <sheetProtection sheet="1" formatCells="0" formatRows="0" insertRows="0" insertHyperlinks="0" deleteRows="0"/>
  <protectedRanges>
    <protectedRange sqref="A20:E45" name="Intervalo2"/>
    <protectedRange sqref="A14:E19 G14:Q51" name="Intervalo1"/>
  </protectedRanges>
  <mergeCells count="288">
    <mergeCell ref="G42:H43"/>
    <mergeCell ref="G44:H45"/>
    <mergeCell ref="K44:K45"/>
    <mergeCell ref="I42:J43"/>
    <mergeCell ref="K42:K43"/>
    <mergeCell ref="I46:J47"/>
    <mergeCell ref="I48:J49"/>
    <mergeCell ref="K46:K47"/>
    <mergeCell ref="K48:K49"/>
    <mergeCell ref="A42:A43"/>
    <mergeCell ref="A44:A45"/>
    <mergeCell ref="B48:E48"/>
    <mergeCell ref="G4:H4"/>
    <mergeCell ref="B49:E49"/>
    <mergeCell ref="B42:C43"/>
    <mergeCell ref="B44:C45"/>
    <mergeCell ref="D42:E43"/>
    <mergeCell ref="D44:E45"/>
    <mergeCell ref="F46:F47"/>
    <mergeCell ref="F48:F49"/>
    <mergeCell ref="G46:H47"/>
    <mergeCell ref="G48:H49"/>
    <mergeCell ref="D10:E10"/>
    <mergeCell ref="A10:B10"/>
    <mergeCell ref="C5:H5"/>
    <mergeCell ref="A6:B6"/>
    <mergeCell ref="A11:B11"/>
    <mergeCell ref="D11:E11"/>
    <mergeCell ref="F11:G11"/>
    <mergeCell ref="A20:A21"/>
    <mergeCell ref="B20:C21"/>
    <mergeCell ref="D20:E21"/>
    <mergeCell ref="F42:F43"/>
    <mergeCell ref="A1:Q2"/>
    <mergeCell ref="A3:B3"/>
    <mergeCell ref="D3:F3"/>
    <mergeCell ref="G3:H3"/>
    <mergeCell ref="A4:B4"/>
    <mergeCell ref="D4:F4"/>
    <mergeCell ref="I3:I4"/>
    <mergeCell ref="J3:K4"/>
    <mergeCell ref="L3:L4"/>
    <mergeCell ref="M3:N4"/>
    <mergeCell ref="O3:O4"/>
    <mergeCell ref="P3:P4"/>
    <mergeCell ref="M6:P6"/>
    <mergeCell ref="K10:L10"/>
    <mergeCell ref="M10:O10"/>
    <mergeCell ref="Q14:Q15"/>
    <mergeCell ref="P14:P15"/>
    <mergeCell ref="O14:O15"/>
    <mergeCell ref="C6:H6"/>
    <mergeCell ref="I5:L5"/>
    <mergeCell ref="M5:P5"/>
    <mergeCell ref="K11:L11"/>
    <mergeCell ref="M11:O11"/>
    <mergeCell ref="H11:J11"/>
    <mergeCell ref="I6:L6"/>
    <mergeCell ref="A7:P7"/>
    <mergeCell ref="A8:P8"/>
    <mergeCell ref="A9:G9"/>
    <mergeCell ref="H9:Q9"/>
    <mergeCell ref="G14:H15"/>
    <mergeCell ref="F10:G10"/>
    <mergeCell ref="H10:J10"/>
    <mergeCell ref="A12:A13"/>
    <mergeCell ref="B12:C13"/>
    <mergeCell ref="D12:E13"/>
    <mergeCell ref="F12:J12"/>
    <mergeCell ref="P16:P17"/>
    <mergeCell ref="O16:O17"/>
    <mergeCell ref="I14:J15"/>
    <mergeCell ref="K14:K15"/>
    <mergeCell ref="L14:L15"/>
    <mergeCell ref="M14:M15"/>
    <mergeCell ref="I16:J17"/>
    <mergeCell ref="K16:K17"/>
    <mergeCell ref="L16:L17"/>
    <mergeCell ref="M16:M17"/>
    <mergeCell ref="K12:O12"/>
    <mergeCell ref="N16:N17"/>
    <mergeCell ref="Q16:Q17"/>
    <mergeCell ref="A18:A19"/>
    <mergeCell ref="B18:C19"/>
    <mergeCell ref="D18:E19"/>
    <mergeCell ref="F18:F19"/>
    <mergeCell ref="G18:H19"/>
    <mergeCell ref="I18:J19"/>
    <mergeCell ref="K18:K19"/>
    <mergeCell ref="L18:L19"/>
    <mergeCell ref="M18:M19"/>
    <mergeCell ref="P12:P13"/>
    <mergeCell ref="Q12:Q13"/>
    <mergeCell ref="G13:H13"/>
    <mergeCell ref="I13:J13"/>
    <mergeCell ref="N14:N15"/>
    <mergeCell ref="A16:A17"/>
    <mergeCell ref="B16:C17"/>
    <mergeCell ref="D16:E17"/>
    <mergeCell ref="F16:F17"/>
    <mergeCell ref="G16:H17"/>
    <mergeCell ref="A14:A15"/>
    <mergeCell ref="B14:C15"/>
    <mergeCell ref="Q20:Q21"/>
    <mergeCell ref="Q24:Q25"/>
    <mergeCell ref="P24:P25"/>
    <mergeCell ref="N24:N25"/>
    <mergeCell ref="Q18:Q19"/>
    <mergeCell ref="M20:M21"/>
    <mergeCell ref="N22:N23"/>
    <mergeCell ref="P22:P23"/>
    <mergeCell ref="Q22:Q23"/>
    <mergeCell ref="N20:N21"/>
    <mergeCell ref="O20:O21"/>
    <mergeCell ref="P20:P21"/>
    <mergeCell ref="O22:O23"/>
    <mergeCell ref="N18:N19"/>
    <mergeCell ref="O18:O19"/>
    <mergeCell ref="P18:P19"/>
    <mergeCell ref="M22:M23"/>
    <mergeCell ref="G26:H27"/>
    <mergeCell ref="M26:M27"/>
    <mergeCell ref="K22:K23"/>
    <mergeCell ref="L22:L23"/>
    <mergeCell ref="O24:O25"/>
    <mergeCell ref="F20:F21"/>
    <mergeCell ref="G20:H21"/>
    <mergeCell ref="I20:J21"/>
    <mergeCell ref="K20:K21"/>
    <mergeCell ref="L20:L21"/>
    <mergeCell ref="G24:H25"/>
    <mergeCell ref="I24:J25"/>
    <mergeCell ref="K24:K25"/>
    <mergeCell ref="L24:L25"/>
    <mergeCell ref="M24:M25"/>
    <mergeCell ref="A26:A27"/>
    <mergeCell ref="B26:C27"/>
    <mergeCell ref="D26:E27"/>
    <mergeCell ref="F26:F27"/>
    <mergeCell ref="Q28:Q29"/>
    <mergeCell ref="Q26:Q27"/>
    <mergeCell ref="A30:A31"/>
    <mergeCell ref="B30:C31"/>
    <mergeCell ref="D30:E31"/>
    <mergeCell ref="N28:N29"/>
    <mergeCell ref="A28:A29"/>
    <mergeCell ref="B28:C29"/>
    <mergeCell ref="D28:E29"/>
    <mergeCell ref="M30:M31"/>
    <mergeCell ref="N30:N31"/>
    <mergeCell ref="L30:L31"/>
    <mergeCell ref="K30:K31"/>
    <mergeCell ref="F28:F29"/>
    <mergeCell ref="O28:O29"/>
    <mergeCell ref="P28:P29"/>
    <mergeCell ref="I26:J27"/>
    <mergeCell ref="K26:K27"/>
    <mergeCell ref="L26:L27"/>
    <mergeCell ref="K28:K29"/>
    <mergeCell ref="L28:L29"/>
    <mergeCell ref="M28:M29"/>
    <mergeCell ref="N26:N27"/>
    <mergeCell ref="O26:O27"/>
    <mergeCell ref="P32:P33"/>
    <mergeCell ref="Q32:Q33"/>
    <mergeCell ref="O30:O31"/>
    <mergeCell ref="P30:P31"/>
    <mergeCell ref="Q30:Q31"/>
    <mergeCell ref="P26:P27"/>
    <mergeCell ref="I34:J35"/>
    <mergeCell ref="M32:M33"/>
    <mergeCell ref="N32:N33"/>
    <mergeCell ref="O32:O33"/>
    <mergeCell ref="O34:O35"/>
    <mergeCell ref="P34:P35"/>
    <mergeCell ref="I32:J33"/>
    <mergeCell ref="K32:K33"/>
    <mergeCell ref="L32:L33"/>
    <mergeCell ref="I30:J31"/>
    <mergeCell ref="P36:P37"/>
    <mergeCell ref="Q36:Q37"/>
    <mergeCell ref="Q34:Q35"/>
    <mergeCell ref="A36:A37"/>
    <mergeCell ref="B36:C37"/>
    <mergeCell ref="D36:E37"/>
    <mergeCell ref="F36:F37"/>
    <mergeCell ref="G36:H37"/>
    <mergeCell ref="I36:J37"/>
    <mergeCell ref="K36:K37"/>
    <mergeCell ref="A34:A35"/>
    <mergeCell ref="B34:C35"/>
    <mergeCell ref="D34:E35"/>
    <mergeCell ref="F34:F35"/>
    <mergeCell ref="M34:M35"/>
    <mergeCell ref="N34:N35"/>
    <mergeCell ref="L34:L35"/>
    <mergeCell ref="K34:K35"/>
    <mergeCell ref="G34:H35"/>
    <mergeCell ref="N36:N37"/>
    <mergeCell ref="O36:O37"/>
    <mergeCell ref="L36:L37"/>
    <mergeCell ref="M36:M37"/>
    <mergeCell ref="A5:B5"/>
    <mergeCell ref="A38:A39"/>
    <mergeCell ref="B38:C39"/>
    <mergeCell ref="F30:F31"/>
    <mergeCell ref="G32:H33"/>
    <mergeCell ref="G28:H29"/>
    <mergeCell ref="I28:J29"/>
    <mergeCell ref="G30:H31"/>
    <mergeCell ref="A32:A33"/>
    <mergeCell ref="B32:C33"/>
    <mergeCell ref="D32:E33"/>
    <mergeCell ref="F32:F33"/>
    <mergeCell ref="A22:A23"/>
    <mergeCell ref="B22:C23"/>
    <mergeCell ref="D22:E23"/>
    <mergeCell ref="F22:F23"/>
    <mergeCell ref="G22:H23"/>
    <mergeCell ref="I22:J23"/>
    <mergeCell ref="D14:E15"/>
    <mergeCell ref="F14:F15"/>
    <mergeCell ref="A24:A25"/>
    <mergeCell ref="B24:C25"/>
    <mergeCell ref="D24:E25"/>
    <mergeCell ref="F24:F25"/>
    <mergeCell ref="A40:A41"/>
    <mergeCell ref="B40:C41"/>
    <mergeCell ref="D40:E41"/>
    <mergeCell ref="F40:F41"/>
    <mergeCell ref="F38:F39"/>
    <mergeCell ref="G38:H39"/>
    <mergeCell ref="I38:J39"/>
    <mergeCell ref="K38:K39"/>
    <mergeCell ref="M38:M39"/>
    <mergeCell ref="M40:M41"/>
    <mergeCell ref="G40:H41"/>
    <mergeCell ref="I40:J41"/>
    <mergeCell ref="K40:K41"/>
    <mergeCell ref="L38:L39"/>
    <mergeCell ref="B50:E50"/>
    <mergeCell ref="F50:F51"/>
    <mergeCell ref="G50:H51"/>
    <mergeCell ref="I50:J51"/>
    <mergeCell ref="Q40:Q41"/>
    <mergeCell ref="O40:O41"/>
    <mergeCell ref="P40:P41"/>
    <mergeCell ref="P38:P39"/>
    <mergeCell ref="Q38:Q39"/>
    <mergeCell ref="D38:E39"/>
    <mergeCell ref="L40:L41"/>
    <mergeCell ref="N40:N41"/>
    <mergeCell ref="O38:O39"/>
    <mergeCell ref="N38:N39"/>
    <mergeCell ref="L46:L47"/>
    <mergeCell ref="L48:L49"/>
    <mergeCell ref="M42:M43"/>
    <mergeCell ref="M44:M45"/>
    <mergeCell ref="M46:M47"/>
    <mergeCell ref="M48:M49"/>
    <mergeCell ref="L42:L43"/>
    <mergeCell ref="F44:F45"/>
    <mergeCell ref="I44:J45"/>
    <mergeCell ref="L44:L45"/>
    <mergeCell ref="A46:E47"/>
    <mergeCell ref="Q50:Q51"/>
    <mergeCell ref="K50:K51"/>
    <mergeCell ref="L50:L51"/>
    <mergeCell ref="M50:M51"/>
    <mergeCell ref="N50:N51"/>
    <mergeCell ref="O50:O51"/>
    <mergeCell ref="N42:N43"/>
    <mergeCell ref="N44:N45"/>
    <mergeCell ref="N46:N47"/>
    <mergeCell ref="N48:N49"/>
    <mergeCell ref="P50:P51"/>
    <mergeCell ref="Q48:Q49"/>
    <mergeCell ref="Q42:Q43"/>
    <mergeCell ref="Q44:Q45"/>
    <mergeCell ref="Q46:Q47"/>
    <mergeCell ref="P42:P43"/>
    <mergeCell ref="P44:P45"/>
    <mergeCell ref="P46:P47"/>
    <mergeCell ref="P48:P49"/>
    <mergeCell ref="O42:O43"/>
    <mergeCell ref="O44:O45"/>
    <mergeCell ref="O46:O47"/>
    <mergeCell ref="O48:O49"/>
  </mergeCells>
  <phoneticPr fontId="0" type="noConversion"/>
  <conditionalFormatting sqref="D4:F4">
    <cfRule type="cellIs" dxfId="20" priority="2" stopIfTrue="1" operator="equal">
      <formula>0</formula>
    </cfRule>
  </conditionalFormatting>
  <conditionalFormatting sqref="A14:A15">
    <cfRule type="expression" dxfId="19" priority="1">
      <formula>$A$14=""</formula>
    </cfRule>
  </conditionalFormatting>
  <pageMargins left="0.39370078740157483" right="0.19685039370078741" top="0.23622047244094488" bottom="0.15748031496062992" header="0.43307086614173229" footer="0.15748031496062992"/>
  <pageSetup paperSize="9" scale="72" fitToHeight="0" orientation="landscape" r:id="rId1"/>
  <headerFooter alignWithMargins="0">
    <oddFooter>&amp;LForm152- Rev 05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DADOS!$A$2:$A$4</xm:f>
          </x14:formula1>
          <xm:sqref>P14:P51</xm:sqref>
        </x14:dataValidation>
        <x14:dataValidation type="list" allowBlank="1" showInputMessage="1" showErrorMessage="1">
          <x14:formula1>
            <xm:f>OFFSET(DADOS!$B$1,1,,COUNTA(DADOS!$B:$B)-1)</xm:f>
          </x14:formula1>
          <xm:sqref>B14:C15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6"/>
  </sheetPr>
  <dimension ref="D2:R34"/>
  <sheetViews>
    <sheetView tabSelected="1" view="pageBreakPreview" zoomScaleNormal="115" zoomScaleSheetLayoutView="100" zoomScalePageLayoutView="90" workbookViewId="0"/>
  </sheetViews>
  <sheetFormatPr defaultRowHeight="12.75"/>
  <cols>
    <col min="1" max="2" width="9.140625" style="45"/>
    <col min="3" max="3" width="2.7109375" style="45" customWidth="1"/>
    <col min="4" max="4" width="9.85546875" style="68" customWidth="1"/>
    <col min="5" max="18" width="9.85546875" style="45" customWidth="1"/>
    <col min="19" max="19" width="2.7109375" style="45" customWidth="1"/>
    <col min="20" max="22" width="9.140625" style="45"/>
    <col min="23" max="23" width="9.140625" style="45" customWidth="1"/>
    <col min="24" max="16384" width="9.140625" style="45"/>
  </cols>
  <sheetData>
    <row r="2" spans="4:18" ht="9.75" customHeight="1" thickBot="1"/>
    <row r="3" spans="4:18" ht="23.25">
      <c r="D3" s="422" t="s">
        <v>775</v>
      </c>
      <c r="E3" s="423"/>
      <c r="F3" s="423"/>
      <c r="G3" s="423"/>
      <c r="H3" s="423"/>
      <c r="I3" s="423"/>
      <c r="J3" s="423"/>
      <c r="K3" s="423"/>
      <c r="L3" s="423"/>
      <c r="M3" s="423"/>
      <c r="N3" s="423"/>
      <c r="O3" s="423"/>
      <c r="P3" s="423"/>
      <c r="Q3" s="423"/>
      <c r="R3" s="424"/>
    </row>
    <row r="4" spans="4:18">
      <c r="D4" s="69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1"/>
    </row>
    <row r="5" spans="4:18" ht="15.75">
      <c r="D5" s="72"/>
      <c r="E5" s="93" t="s">
        <v>795</v>
      </c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1"/>
    </row>
    <row r="6" spans="4:18" ht="15">
      <c r="D6" s="74"/>
      <c r="E6" s="70"/>
      <c r="F6" s="70"/>
      <c r="G6" s="70"/>
      <c r="H6" s="70"/>
      <c r="I6" s="70"/>
      <c r="J6" s="70"/>
      <c r="K6" s="70"/>
      <c r="L6" s="70"/>
      <c r="M6" s="70"/>
      <c r="N6" s="70"/>
      <c r="O6" s="73"/>
      <c r="P6" s="70"/>
      <c r="Q6" s="70"/>
      <c r="R6" s="71"/>
    </row>
    <row r="7" spans="4:18">
      <c r="D7" s="74" t="s">
        <v>767</v>
      </c>
      <c r="E7" s="75" t="s">
        <v>771</v>
      </c>
      <c r="F7" s="70"/>
      <c r="G7" s="70"/>
      <c r="H7" s="70"/>
      <c r="I7" s="70"/>
      <c r="J7" s="70"/>
      <c r="K7" s="70"/>
      <c r="L7" s="70"/>
      <c r="M7" s="70"/>
      <c r="N7" s="70"/>
      <c r="O7" s="70"/>
      <c r="P7" s="70"/>
      <c r="Q7" s="70"/>
      <c r="R7" s="71"/>
    </row>
    <row r="8" spans="4:18">
      <c r="D8" s="74" t="s">
        <v>768</v>
      </c>
      <c r="E8" s="75" t="s">
        <v>772</v>
      </c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1"/>
    </row>
    <row r="9" spans="4:18">
      <c r="D9" s="74" t="s">
        <v>769</v>
      </c>
      <c r="E9" s="75" t="s">
        <v>773</v>
      </c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1"/>
    </row>
    <row r="10" spans="4:18">
      <c r="D10" s="74" t="s">
        <v>770</v>
      </c>
      <c r="E10" s="75" t="s">
        <v>774</v>
      </c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1"/>
    </row>
    <row r="11" spans="4:18">
      <c r="D11" s="76" t="s">
        <v>841</v>
      </c>
      <c r="E11" s="44" t="s">
        <v>854</v>
      </c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1"/>
    </row>
    <row r="12" spans="4:18" ht="11.25" customHeight="1">
      <c r="D12" s="74" t="s">
        <v>776</v>
      </c>
      <c r="E12" s="75" t="s">
        <v>778</v>
      </c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1"/>
    </row>
    <row r="13" spans="4:18">
      <c r="D13" s="74"/>
      <c r="E13" s="75"/>
      <c r="F13" s="70"/>
      <c r="G13" s="70"/>
      <c r="H13" s="70"/>
      <c r="I13" s="70"/>
      <c r="J13" s="70"/>
      <c r="K13" s="70"/>
      <c r="L13" s="70"/>
      <c r="M13" s="70"/>
      <c r="N13" s="70"/>
      <c r="O13" s="70"/>
      <c r="P13" s="70"/>
      <c r="Q13" s="70"/>
      <c r="R13" s="71"/>
    </row>
    <row r="14" spans="4:18">
      <c r="D14" s="74" t="s">
        <v>777</v>
      </c>
      <c r="E14" s="75" t="s">
        <v>780</v>
      </c>
      <c r="F14" s="70"/>
      <c r="G14" s="70"/>
      <c r="H14" s="75" t="s">
        <v>808</v>
      </c>
      <c r="I14" s="70"/>
      <c r="J14" s="70"/>
      <c r="K14" s="70"/>
      <c r="L14" s="70"/>
      <c r="M14" s="70"/>
      <c r="N14" s="70"/>
      <c r="O14" s="70"/>
      <c r="P14" s="70"/>
      <c r="Q14" s="70"/>
      <c r="R14" s="71"/>
    </row>
    <row r="15" spans="4:18" ht="7.5" customHeight="1">
      <c r="D15" s="74"/>
      <c r="E15" s="75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1"/>
    </row>
    <row r="16" spans="4:18">
      <c r="D16" s="74"/>
      <c r="E16" s="75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1"/>
    </row>
    <row r="17" spans="4:18">
      <c r="D17" s="74" t="s">
        <v>779</v>
      </c>
      <c r="E17" s="75" t="s">
        <v>798</v>
      </c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1"/>
    </row>
    <row r="18" spans="4:18">
      <c r="D18" s="76" t="s">
        <v>783</v>
      </c>
      <c r="E18" s="75" t="s">
        <v>797</v>
      </c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1"/>
    </row>
    <row r="19" spans="4:18">
      <c r="D19" s="74"/>
      <c r="E19" s="70"/>
      <c r="F19" s="75" t="s">
        <v>887</v>
      </c>
      <c r="G19" s="70"/>
      <c r="H19" s="70"/>
      <c r="I19" s="70"/>
      <c r="J19" s="70"/>
      <c r="K19" s="70"/>
      <c r="L19" s="70"/>
      <c r="M19" s="70"/>
      <c r="N19" s="70"/>
      <c r="O19" s="70"/>
      <c r="P19" s="70"/>
      <c r="Q19" s="70"/>
      <c r="R19" s="71"/>
    </row>
    <row r="20" spans="4:18">
      <c r="D20" s="74"/>
      <c r="E20" s="70"/>
      <c r="F20" s="75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1"/>
    </row>
    <row r="21" spans="4:18">
      <c r="D21" s="74" t="s">
        <v>781</v>
      </c>
      <c r="E21" s="75" t="s">
        <v>784</v>
      </c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1"/>
    </row>
    <row r="22" spans="4:18">
      <c r="D22" s="74" t="s">
        <v>782</v>
      </c>
      <c r="E22" s="75" t="s">
        <v>796</v>
      </c>
      <c r="F22" s="70"/>
      <c r="G22" s="70"/>
      <c r="H22" s="70"/>
      <c r="I22" s="70"/>
      <c r="J22" s="70"/>
      <c r="K22" s="70"/>
      <c r="L22" s="70"/>
      <c r="M22" s="70"/>
      <c r="N22" s="70"/>
      <c r="O22" s="70"/>
      <c r="P22" s="70"/>
      <c r="Q22" s="70"/>
      <c r="R22" s="71"/>
    </row>
    <row r="23" spans="4:18">
      <c r="D23" s="74" t="s">
        <v>785</v>
      </c>
      <c r="E23" s="75" t="s">
        <v>786</v>
      </c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1"/>
    </row>
    <row r="24" spans="4:18">
      <c r="D24" s="74" t="s">
        <v>788</v>
      </c>
      <c r="E24" s="75" t="s">
        <v>789</v>
      </c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70"/>
      <c r="R24" s="71"/>
    </row>
    <row r="25" spans="4:18">
      <c r="D25" s="74" t="s">
        <v>821</v>
      </c>
      <c r="E25" s="75" t="s">
        <v>822</v>
      </c>
      <c r="F25" s="70"/>
      <c r="G25" s="70"/>
      <c r="H25" s="70"/>
      <c r="I25" s="70"/>
      <c r="J25" s="70"/>
      <c r="K25" s="70"/>
      <c r="L25" s="70"/>
      <c r="M25" s="75" t="s">
        <v>823</v>
      </c>
      <c r="N25" s="70"/>
      <c r="O25" s="70"/>
      <c r="P25" s="70"/>
      <c r="Q25" s="70"/>
      <c r="R25" s="71"/>
    </row>
    <row r="26" spans="4:18">
      <c r="D26" s="76" t="s">
        <v>824</v>
      </c>
      <c r="E26" s="75" t="s">
        <v>825</v>
      </c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70"/>
      <c r="Q26" s="70"/>
      <c r="R26" s="71"/>
    </row>
    <row r="27" spans="4:18">
      <c r="D27" s="76"/>
      <c r="E27" s="75"/>
      <c r="F27" s="75" t="s">
        <v>826</v>
      </c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70"/>
      <c r="R27" s="71"/>
    </row>
    <row r="28" spans="4:18">
      <c r="D28" s="74"/>
      <c r="E28" s="75"/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70"/>
      <c r="Q28" s="70"/>
      <c r="R28" s="71"/>
    </row>
    <row r="29" spans="4:18">
      <c r="D29" s="69"/>
      <c r="E29" s="425" t="s">
        <v>790</v>
      </c>
      <c r="F29" s="425"/>
      <c r="G29" s="425"/>
      <c r="H29" s="425"/>
      <c r="I29" s="425"/>
      <c r="J29" s="425"/>
      <c r="K29" s="425"/>
      <c r="L29" s="425"/>
      <c r="M29" s="425"/>
      <c r="N29" s="425"/>
      <c r="O29" s="425"/>
      <c r="P29" s="425"/>
      <c r="Q29" s="425"/>
      <c r="R29" s="71"/>
    </row>
    <row r="30" spans="4:18">
      <c r="D30" s="69"/>
      <c r="E30" s="70"/>
      <c r="F30" s="70"/>
      <c r="G30" s="70"/>
      <c r="H30" s="70"/>
      <c r="I30" s="70"/>
      <c r="J30" s="70"/>
      <c r="K30" s="70"/>
      <c r="L30" s="70"/>
      <c r="M30" s="70"/>
      <c r="N30" s="70"/>
      <c r="O30" s="70"/>
      <c r="P30" s="70"/>
      <c r="Q30" s="70"/>
      <c r="R30" s="71"/>
    </row>
    <row r="31" spans="4:18">
      <c r="D31" s="69"/>
      <c r="E31" s="70"/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70"/>
      <c r="Q31" s="70"/>
      <c r="R31" s="71"/>
    </row>
    <row r="32" spans="4:18">
      <c r="D32" s="69"/>
      <c r="E32" s="426" t="s">
        <v>787</v>
      </c>
      <c r="F32" s="426"/>
      <c r="G32" s="426"/>
      <c r="H32" s="426"/>
      <c r="I32" s="426"/>
      <c r="J32" s="426"/>
      <c r="K32" s="426"/>
      <c r="L32" s="426"/>
      <c r="M32" s="426"/>
      <c r="N32" s="426"/>
      <c r="O32" s="426"/>
      <c r="P32" s="426"/>
      <c r="Q32" s="426"/>
      <c r="R32" s="71"/>
    </row>
    <row r="33" spans="4:18">
      <c r="D33" s="69"/>
      <c r="E33" s="426"/>
      <c r="F33" s="426"/>
      <c r="G33" s="426"/>
      <c r="H33" s="426"/>
      <c r="I33" s="426"/>
      <c r="J33" s="426"/>
      <c r="K33" s="426"/>
      <c r="L33" s="426"/>
      <c r="M33" s="426"/>
      <c r="N33" s="426"/>
      <c r="O33" s="426"/>
      <c r="P33" s="426"/>
      <c r="Q33" s="426"/>
      <c r="R33" s="71"/>
    </row>
    <row r="34" spans="4:18" ht="9.75" customHeight="1" thickBot="1">
      <c r="D34" s="77"/>
      <c r="E34" s="79"/>
      <c r="F34" s="79"/>
      <c r="G34" s="79"/>
      <c r="H34" s="79"/>
      <c r="I34" s="79"/>
      <c r="J34" s="79"/>
      <c r="K34" s="79"/>
      <c r="L34" s="79"/>
      <c r="M34" s="79"/>
      <c r="N34" s="79"/>
      <c r="O34" s="79"/>
      <c r="P34" s="79"/>
      <c r="Q34" s="79"/>
      <c r="R34" s="78"/>
    </row>
  </sheetData>
  <sheetProtection sheet="1" objects="1" scenarios="1" selectLockedCells="1"/>
  <mergeCells count="3">
    <mergeCell ref="D3:R3"/>
    <mergeCell ref="E29:Q29"/>
    <mergeCell ref="E32:Q33"/>
  </mergeCells>
  <pageMargins left="0.511811024" right="0.511811024" top="0.78740157499999996" bottom="0.78740157499999996" header="0.31496062000000002" footer="0.31496062000000002"/>
  <pageSetup paperSize="9" scale="5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theme="5"/>
  </sheetPr>
  <dimension ref="A1:BF1407"/>
  <sheetViews>
    <sheetView zoomScale="85" zoomScaleNormal="85" workbookViewId="0">
      <pane ySplit="1" topLeftCell="A1384" activePane="bottomLeft" state="frozen"/>
      <selection activeCell="M1" sqref="M1"/>
      <selection pane="bottomLeft" activeCell="D1408" sqref="D1408"/>
    </sheetView>
  </sheetViews>
  <sheetFormatPr defaultRowHeight="15"/>
  <cols>
    <col min="1" max="1" width="5" style="132" customWidth="1"/>
    <col min="2" max="2" width="6.42578125" style="132" customWidth="1"/>
    <col min="3" max="3" width="5.42578125" style="132" customWidth="1"/>
    <col min="4" max="4" width="27.7109375" style="30" customWidth="1"/>
    <col min="5" max="5" width="28.7109375" style="30" customWidth="1"/>
    <col min="6" max="6" width="22.85546875" style="35" customWidth="1"/>
    <col min="7" max="7" width="6.42578125" style="35" customWidth="1"/>
    <col min="8" max="8" width="5.7109375" style="35" customWidth="1"/>
    <col min="9" max="9" width="25.5703125" style="30" bestFit="1" customWidth="1"/>
    <col min="10" max="10" width="25.5703125" style="30" customWidth="1"/>
    <col min="11" max="11" width="14.42578125" style="30" customWidth="1"/>
    <col min="12" max="12" width="8.85546875" style="30" customWidth="1"/>
    <col min="13" max="13" width="8.28515625" style="30" customWidth="1"/>
    <col min="14" max="14" width="14.140625" style="30" customWidth="1"/>
    <col min="15" max="15" width="10.85546875" style="132" customWidth="1"/>
    <col min="16" max="19" width="12.42578125" style="127" customWidth="1"/>
    <col min="20" max="20" width="19.140625" style="67" customWidth="1"/>
    <col min="21" max="22" width="28" style="67" customWidth="1"/>
    <col min="23" max="23" width="8.5703125" style="67" customWidth="1"/>
    <col min="24" max="24" width="8.28515625" style="67" customWidth="1"/>
    <col min="25" max="25" width="28.5703125" style="67" customWidth="1"/>
    <col min="26" max="27" width="8.42578125" style="67" customWidth="1"/>
    <col min="28" max="28" width="10.42578125" style="67" customWidth="1"/>
    <col min="29" max="29" width="8.7109375" style="67" customWidth="1"/>
    <col min="30" max="30" width="12.42578125" style="114" customWidth="1"/>
    <col min="31" max="58" width="9.140625" style="67"/>
    <col min="59" max="16384" width="9.140625" style="30"/>
  </cols>
  <sheetData>
    <row r="1" spans="1:58" s="34" customFormat="1" ht="50.25" customHeight="1">
      <c r="A1" s="131"/>
      <c r="B1" s="131"/>
      <c r="C1" s="131"/>
      <c r="D1" s="31" t="s">
        <v>92</v>
      </c>
      <c r="E1" s="31" t="s">
        <v>93</v>
      </c>
      <c r="F1" s="32" t="s">
        <v>94</v>
      </c>
      <c r="G1" s="31" t="s">
        <v>95</v>
      </c>
      <c r="H1" s="31" t="s">
        <v>96</v>
      </c>
      <c r="I1" s="31" t="s">
        <v>97</v>
      </c>
      <c r="J1" s="31" t="s">
        <v>98</v>
      </c>
      <c r="K1" s="33" t="s">
        <v>99</v>
      </c>
      <c r="L1" s="31" t="s">
        <v>100</v>
      </c>
      <c r="M1" s="33" t="s">
        <v>101</v>
      </c>
      <c r="N1" s="33" t="s">
        <v>102</v>
      </c>
      <c r="O1" s="131"/>
      <c r="P1" s="128"/>
      <c r="Q1" s="128"/>
      <c r="R1" s="128"/>
      <c r="S1" s="128"/>
      <c r="T1" s="430" t="s">
        <v>831</v>
      </c>
      <c r="U1" s="431"/>
      <c r="V1" s="431"/>
      <c r="W1" s="431"/>
      <c r="X1" s="431"/>
      <c r="Y1" s="431"/>
      <c r="Z1" s="431"/>
      <c r="AA1" s="431"/>
      <c r="AB1" s="431"/>
      <c r="AC1" s="431"/>
      <c r="AD1" s="113"/>
      <c r="AE1" s="111"/>
      <c r="AF1" s="111"/>
      <c r="AG1" s="111"/>
      <c r="AH1" s="111"/>
      <c r="AI1" s="111"/>
      <c r="AJ1" s="111"/>
      <c r="AK1" s="111"/>
      <c r="AL1" s="111"/>
      <c r="AM1" s="111"/>
      <c r="AN1" s="111"/>
      <c r="AO1" s="111"/>
      <c r="AP1" s="111"/>
      <c r="AQ1" s="111"/>
      <c r="AR1" s="111"/>
      <c r="AS1" s="111"/>
      <c r="AT1" s="111"/>
      <c r="AU1" s="111"/>
      <c r="AV1" s="111"/>
      <c r="AW1" s="111"/>
      <c r="AX1" s="111"/>
      <c r="AY1" s="111"/>
      <c r="AZ1" s="111"/>
      <c r="BA1" s="111"/>
      <c r="BB1" s="111"/>
      <c r="BC1" s="111"/>
      <c r="BD1" s="111"/>
      <c r="BE1" s="111"/>
      <c r="BF1" s="111"/>
    </row>
    <row r="2" spans="1:58" ht="15" customHeight="1">
      <c r="D2" s="30" t="s">
        <v>103</v>
      </c>
      <c r="E2" s="30" t="s">
        <v>109</v>
      </c>
      <c r="F2" s="35" t="s">
        <v>110</v>
      </c>
      <c r="I2" s="30" t="s">
        <v>111</v>
      </c>
      <c r="J2" s="30">
        <v>2</v>
      </c>
      <c r="K2" s="30" t="s">
        <v>35</v>
      </c>
      <c r="L2" s="30" t="s">
        <v>107</v>
      </c>
      <c r="M2" s="30" t="s">
        <v>108</v>
      </c>
      <c r="T2" s="430"/>
      <c r="U2" s="431"/>
      <c r="V2" s="431"/>
      <c r="W2" s="431"/>
      <c r="X2" s="431"/>
      <c r="Y2" s="431"/>
      <c r="Z2" s="431"/>
      <c r="AA2" s="431"/>
      <c r="AB2" s="431"/>
      <c r="AC2" s="431"/>
    </row>
    <row r="3" spans="1:58" ht="15" customHeight="1">
      <c r="D3" s="30" t="s">
        <v>103</v>
      </c>
      <c r="E3" s="30" t="s">
        <v>104</v>
      </c>
      <c r="F3" s="135" t="s">
        <v>105</v>
      </c>
      <c r="I3" s="30" t="s">
        <v>106</v>
      </c>
      <c r="J3" s="30" t="s">
        <v>107</v>
      </c>
      <c r="K3" s="30" t="s">
        <v>35</v>
      </c>
      <c r="L3" s="30" t="s">
        <v>107</v>
      </c>
      <c r="M3" s="30" t="s">
        <v>108</v>
      </c>
      <c r="T3" s="112" t="s">
        <v>834</v>
      </c>
    </row>
    <row r="4" spans="1:58" ht="15" customHeight="1">
      <c r="D4" s="30" t="s">
        <v>112</v>
      </c>
      <c r="E4" s="30" t="s">
        <v>109</v>
      </c>
      <c r="F4" s="35" t="s">
        <v>110</v>
      </c>
      <c r="I4" s="30" t="s">
        <v>111</v>
      </c>
      <c r="J4" s="30">
        <v>2</v>
      </c>
      <c r="K4" s="30" t="s">
        <v>35</v>
      </c>
      <c r="L4" s="30" t="s">
        <v>107</v>
      </c>
      <c r="M4" s="30" t="s">
        <v>108</v>
      </c>
      <c r="T4" s="432" t="s">
        <v>835</v>
      </c>
      <c r="U4" s="433"/>
      <c r="V4" s="433"/>
      <c r="W4" s="433"/>
      <c r="X4" s="433"/>
      <c r="Y4" s="433"/>
      <c r="Z4" s="433"/>
      <c r="AA4" s="433"/>
      <c r="AB4" s="433"/>
      <c r="AC4" s="433"/>
    </row>
    <row r="5" spans="1:58" ht="15" customHeight="1">
      <c r="D5" s="30" t="s">
        <v>112</v>
      </c>
      <c r="E5" s="30" t="s">
        <v>104</v>
      </c>
      <c r="F5" s="35" t="s">
        <v>113</v>
      </c>
      <c r="I5" s="133" t="s">
        <v>111</v>
      </c>
      <c r="J5" s="95">
        <v>1</v>
      </c>
      <c r="K5" s="30" t="s">
        <v>35</v>
      </c>
      <c r="L5" s="30" t="s">
        <v>107</v>
      </c>
      <c r="M5" s="30" t="s">
        <v>108</v>
      </c>
      <c r="T5" s="31" t="s">
        <v>92</v>
      </c>
      <c r="U5" s="31" t="s">
        <v>93</v>
      </c>
      <c r="V5" s="32" t="s">
        <v>94</v>
      </c>
      <c r="W5" s="31" t="s">
        <v>95</v>
      </c>
      <c r="X5" s="31" t="s">
        <v>96</v>
      </c>
      <c r="Y5" s="31" t="s">
        <v>97</v>
      </c>
      <c r="Z5" s="31" t="s">
        <v>98</v>
      </c>
      <c r="AA5" s="33" t="s">
        <v>99</v>
      </c>
      <c r="AB5" s="31" t="s">
        <v>100</v>
      </c>
      <c r="AC5" s="33" t="s">
        <v>101</v>
      </c>
    </row>
    <row r="6" spans="1:58" ht="15" customHeight="1">
      <c r="D6" s="30" t="s">
        <v>114</v>
      </c>
      <c r="E6" s="30" t="s">
        <v>109</v>
      </c>
      <c r="F6" s="35" t="s">
        <v>110</v>
      </c>
      <c r="I6" s="30" t="s">
        <v>111</v>
      </c>
      <c r="J6" s="30">
        <v>2</v>
      </c>
      <c r="K6" s="30" t="s">
        <v>35</v>
      </c>
      <c r="L6" s="30" t="s">
        <v>107</v>
      </c>
      <c r="M6" s="30" t="s">
        <v>108</v>
      </c>
      <c r="T6" s="101" t="s">
        <v>799</v>
      </c>
      <c r="U6" s="101" t="s">
        <v>104</v>
      </c>
      <c r="V6" s="101" t="s">
        <v>607</v>
      </c>
      <c r="W6" s="107"/>
      <c r="X6" s="107"/>
      <c r="Y6" s="101" t="s">
        <v>106</v>
      </c>
      <c r="Z6" s="101">
        <v>2</v>
      </c>
      <c r="AA6" s="101" t="s">
        <v>35</v>
      </c>
      <c r="AB6" s="101" t="s">
        <v>107</v>
      </c>
      <c r="AC6" s="101" t="s">
        <v>108</v>
      </c>
    </row>
    <row r="7" spans="1:58" ht="15" customHeight="1">
      <c r="D7" s="30" t="s">
        <v>114</v>
      </c>
      <c r="E7" s="30" t="s">
        <v>104</v>
      </c>
      <c r="F7" s="35" t="s">
        <v>115</v>
      </c>
      <c r="I7" s="133" t="s">
        <v>111</v>
      </c>
      <c r="J7" s="95">
        <v>1</v>
      </c>
      <c r="K7" s="30" t="s">
        <v>35</v>
      </c>
      <c r="L7" s="30" t="s">
        <v>107</v>
      </c>
      <c r="M7" s="30" t="s">
        <v>108</v>
      </c>
      <c r="T7" s="101" t="s">
        <v>799</v>
      </c>
      <c r="U7" s="101" t="s">
        <v>118</v>
      </c>
      <c r="V7" s="107"/>
      <c r="W7" s="107" t="s">
        <v>160</v>
      </c>
      <c r="X7" s="107" t="s">
        <v>161</v>
      </c>
      <c r="Y7" s="101" t="s">
        <v>121</v>
      </c>
      <c r="Z7" s="101">
        <v>2</v>
      </c>
      <c r="AA7" s="101" t="s">
        <v>35</v>
      </c>
      <c r="AB7" s="101" t="s">
        <v>888</v>
      </c>
      <c r="AC7" s="101" t="s">
        <v>108</v>
      </c>
    </row>
    <row r="8" spans="1:58">
      <c r="D8" s="30" t="s">
        <v>202</v>
      </c>
      <c r="E8" s="30" t="s">
        <v>109</v>
      </c>
      <c r="F8" s="35" t="s">
        <v>110</v>
      </c>
      <c r="I8" s="30" t="s">
        <v>111</v>
      </c>
      <c r="J8" s="30">
        <v>2</v>
      </c>
      <c r="K8" s="30" t="s">
        <v>35</v>
      </c>
      <c r="L8" s="30" t="s">
        <v>107</v>
      </c>
      <c r="M8" s="30" t="s">
        <v>108</v>
      </c>
      <c r="T8" s="101" t="s">
        <v>799</v>
      </c>
      <c r="U8" s="101" t="s">
        <v>109</v>
      </c>
      <c r="V8" s="107" t="s">
        <v>110</v>
      </c>
      <c r="W8" s="107"/>
      <c r="X8" s="107"/>
      <c r="Y8" s="101" t="s">
        <v>111</v>
      </c>
      <c r="Z8" s="101">
        <v>2</v>
      </c>
      <c r="AA8" s="101" t="s">
        <v>35</v>
      </c>
      <c r="AB8" s="101" t="s">
        <v>107</v>
      </c>
      <c r="AC8" s="101" t="s">
        <v>108</v>
      </c>
    </row>
    <row r="9" spans="1:58" ht="15" customHeight="1">
      <c r="D9" s="30" t="s">
        <v>202</v>
      </c>
      <c r="E9" s="30" t="s">
        <v>118</v>
      </c>
      <c r="G9" s="35" t="s">
        <v>119</v>
      </c>
      <c r="H9" s="35" t="s">
        <v>120</v>
      </c>
      <c r="I9" s="30" t="s">
        <v>121</v>
      </c>
      <c r="J9" s="30">
        <v>2</v>
      </c>
      <c r="K9" s="30" t="s">
        <v>35</v>
      </c>
      <c r="L9" s="30" t="s">
        <v>891</v>
      </c>
      <c r="M9" s="30" t="s">
        <v>108</v>
      </c>
      <c r="T9" s="101" t="s">
        <v>799</v>
      </c>
      <c r="U9" s="101" t="s">
        <v>122</v>
      </c>
      <c r="V9" s="107" t="s">
        <v>271</v>
      </c>
      <c r="W9" s="107"/>
      <c r="X9" s="107"/>
      <c r="Y9" s="101" t="s">
        <v>889</v>
      </c>
      <c r="Z9" s="101">
        <v>5</v>
      </c>
      <c r="AA9" s="101" t="s">
        <v>35</v>
      </c>
      <c r="AB9" s="101" t="s">
        <v>107</v>
      </c>
      <c r="AC9" s="101" t="s">
        <v>108</v>
      </c>
    </row>
    <row r="10" spans="1:58" ht="15" customHeight="1">
      <c r="D10" s="30" t="s">
        <v>202</v>
      </c>
      <c r="E10" s="30" t="s">
        <v>122</v>
      </c>
      <c r="F10" s="35" t="s">
        <v>123</v>
      </c>
      <c r="I10" s="30" t="s">
        <v>124</v>
      </c>
      <c r="J10" s="30">
        <v>5</v>
      </c>
      <c r="K10" s="30" t="s">
        <v>35</v>
      </c>
      <c r="L10" s="30" t="s">
        <v>107</v>
      </c>
      <c r="M10" s="30" t="s">
        <v>108</v>
      </c>
      <c r="T10" s="101" t="s">
        <v>799</v>
      </c>
      <c r="U10" s="101" t="s">
        <v>131</v>
      </c>
      <c r="V10" s="107"/>
      <c r="W10" s="107" t="s">
        <v>162</v>
      </c>
      <c r="X10" s="107" t="s">
        <v>608</v>
      </c>
      <c r="Y10" s="101" t="s">
        <v>890</v>
      </c>
      <c r="Z10" s="101">
        <v>5</v>
      </c>
      <c r="AA10" s="101" t="s">
        <v>35</v>
      </c>
      <c r="AB10" s="101" t="s">
        <v>135</v>
      </c>
      <c r="AC10" s="101" t="s">
        <v>108</v>
      </c>
    </row>
    <row r="11" spans="1:58" ht="15" customHeight="1">
      <c r="D11" s="30" t="s">
        <v>202</v>
      </c>
      <c r="E11" s="30" t="s">
        <v>104</v>
      </c>
      <c r="F11" s="35" t="s">
        <v>117</v>
      </c>
      <c r="I11" s="30" t="s">
        <v>106</v>
      </c>
      <c r="J11" s="30" t="s">
        <v>107</v>
      </c>
      <c r="K11" s="30" t="s">
        <v>35</v>
      </c>
      <c r="L11" s="30" t="s">
        <v>107</v>
      </c>
      <c r="M11" s="30" t="s">
        <v>108</v>
      </c>
      <c r="T11" s="432" t="s">
        <v>839</v>
      </c>
      <c r="U11" s="433"/>
      <c r="V11" s="433"/>
      <c r="W11" s="433"/>
      <c r="X11" s="433"/>
      <c r="Y11" s="433"/>
      <c r="Z11" s="433"/>
      <c r="AA11" s="433"/>
      <c r="AB11" s="433"/>
      <c r="AC11" s="433"/>
    </row>
    <row r="12" spans="1:58" ht="15" customHeight="1">
      <c r="D12" s="30" t="s">
        <v>211</v>
      </c>
      <c r="E12" s="30" t="s">
        <v>109</v>
      </c>
      <c r="F12" s="35" t="s">
        <v>110</v>
      </c>
      <c r="I12" s="30" t="s">
        <v>111</v>
      </c>
      <c r="J12" s="30">
        <v>2</v>
      </c>
      <c r="K12" s="30" t="s">
        <v>35</v>
      </c>
      <c r="L12" s="30" t="s">
        <v>107</v>
      </c>
      <c r="M12" s="30" t="s">
        <v>108</v>
      </c>
      <c r="T12" s="101" t="s">
        <v>506</v>
      </c>
      <c r="U12" s="101" t="s">
        <v>322</v>
      </c>
      <c r="V12" s="107"/>
      <c r="W12" s="107" t="s">
        <v>390</v>
      </c>
      <c r="X12" s="107" t="s">
        <v>400</v>
      </c>
      <c r="Y12" s="101" t="s">
        <v>48</v>
      </c>
      <c r="Z12" s="101">
        <v>2</v>
      </c>
      <c r="AA12" s="101" t="s">
        <v>35</v>
      </c>
      <c r="AB12" s="101" t="s">
        <v>324</v>
      </c>
      <c r="AC12" s="101" t="s">
        <v>325</v>
      </c>
    </row>
    <row r="13" spans="1:58" ht="15" customHeight="1">
      <c r="D13" s="30" t="s">
        <v>211</v>
      </c>
      <c r="E13" s="30" t="s">
        <v>118</v>
      </c>
      <c r="G13" s="35" t="s">
        <v>119</v>
      </c>
      <c r="H13" s="35" t="s">
        <v>120</v>
      </c>
      <c r="I13" s="30" t="s">
        <v>121</v>
      </c>
      <c r="J13" s="30">
        <v>2</v>
      </c>
      <c r="K13" s="30" t="s">
        <v>35</v>
      </c>
      <c r="L13" s="30" t="s">
        <v>891</v>
      </c>
      <c r="M13" s="30" t="s">
        <v>108</v>
      </c>
      <c r="T13" s="101" t="s">
        <v>506</v>
      </c>
      <c r="U13" s="101" t="s">
        <v>45</v>
      </c>
      <c r="V13" s="107"/>
      <c r="W13" s="107" t="s">
        <v>378</v>
      </c>
      <c r="X13" s="107" t="s">
        <v>379</v>
      </c>
      <c r="Y13" s="101" t="s">
        <v>48</v>
      </c>
      <c r="Z13" s="101">
        <v>2</v>
      </c>
      <c r="AA13" s="101" t="s">
        <v>35</v>
      </c>
      <c r="AB13" s="101" t="s">
        <v>358</v>
      </c>
      <c r="AC13" s="101" t="s">
        <v>325</v>
      </c>
    </row>
    <row r="14" spans="1:58" ht="15" customHeight="1">
      <c r="D14" s="30" t="s">
        <v>211</v>
      </c>
      <c r="E14" s="30" t="s">
        <v>122</v>
      </c>
      <c r="F14" s="35" t="s">
        <v>212</v>
      </c>
      <c r="I14" s="30" t="s">
        <v>124</v>
      </c>
      <c r="J14" s="30">
        <v>5</v>
      </c>
      <c r="K14" s="30" t="s">
        <v>35</v>
      </c>
      <c r="L14" s="30" t="s">
        <v>107</v>
      </c>
      <c r="M14" s="30" t="s">
        <v>108</v>
      </c>
      <c r="T14" s="101" t="s">
        <v>506</v>
      </c>
      <c r="U14" s="101" t="s">
        <v>326</v>
      </c>
      <c r="V14" s="107"/>
      <c r="W14" s="107" t="s">
        <v>391</v>
      </c>
      <c r="X14" s="107" t="s">
        <v>380</v>
      </c>
      <c r="Y14" s="101" t="s">
        <v>329</v>
      </c>
      <c r="Z14" s="101">
        <v>2</v>
      </c>
      <c r="AA14" s="101" t="s">
        <v>35</v>
      </c>
      <c r="AB14" s="101" t="s">
        <v>330</v>
      </c>
      <c r="AC14" s="101" t="s">
        <v>325</v>
      </c>
    </row>
    <row r="15" spans="1:58" ht="15" customHeight="1">
      <c r="D15" s="30" t="s">
        <v>211</v>
      </c>
      <c r="E15" s="30" t="s">
        <v>104</v>
      </c>
      <c r="F15" s="35" t="s">
        <v>117</v>
      </c>
      <c r="I15" s="30" t="s">
        <v>106</v>
      </c>
      <c r="J15" s="30" t="s">
        <v>107</v>
      </c>
      <c r="K15" s="30" t="s">
        <v>35</v>
      </c>
      <c r="L15" s="30" t="s">
        <v>107</v>
      </c>
      <c r="M15" s="30" t="s">
        <v>108</v>
      </c>
      <c r="T15" s="101" t="s">
        <v>506</v>
      </c>
      <c r="U15" s="101" t="s">
        <v>331</v>
      </c>
      <c r="V15" s="107" t="s">
        <v>345</v>
      </c>
      <c r="W15" s="107"/>
      <c r="X15" s="107"/>
      <c r="Y15" s="101" t="s">
        <v>333</v>
      </c>
      <c r="Z15" s="101">
        <v>1</v>
      </c>
      <c r="AA15" s="101" t="s">
        <v>35</v>
      </c>
      <c r="AB15" s="101" t="s">
        <v>107</v>
      </c>
      <c r="AC15" s="101" t="s">
        <v>325</v>
      </c>
    </row>
    <row r="16" spans="1:58" ht="15" customHeight="1">
      <c r="D16" s="30" t="s">
        <v>116</v>
      </c>
      <c r="E16" s="30" t="s">
        <v>109</v>
      </c>
      <c r="F16" s="35" t="s">
        <v>110</v>
      </c>
      <c r="I16" s="30" t="s">
        <v>111</v>
      </c>
      <c r="J16" s="30">
        <v>2</v>
      </c>
      <c r="K16" s="30" t="s">
        <v>35</v>
      </c>
      <c r="L16" s="30" t="s">
        <v>107</v>
      </c>
      <c r="M16" s="30" t="s">
        <v>108</v>
      </c>
      <c r="T16" s="101" t="s">
        <v>506</v>
      </c>
      <c r="U16" s="101" t="s">
        <v>337</v>
      </c>
      <c r="V16" s="107" t="s">
        <v>368</v>
      </c>
      <c r="W16" s="107"/>
      <c r="X16" s="107"/>
      <c r="Y16" s="101" t="s">
        <v>333</v>
      </c>
      <c r="Z16" s="101">
        <v>1</v>
      </c>
      <c r="AA16" s="101" t="s">
        <v>35</v>
      </c>
      <c r="AB16" s="101" t="s">
        <v>336</v>
      </c>
      <c r="AC16" s="101" t="s">
        <v>325</v>
      </c>
    </row>
    <row r="17" spans="4:29" ht="15" customHeight="1">
      <c r="D17" s="30" t="s">
        <v>116</v>
      </c>
      <c r="E17" s="30" t="s">
        <v>118</v>
      </c>
      <c r="G17" s="35" t="s">
        <v>119</v>
      </c>
      <c r="H17" s="35" t="s">
        <v>120</v>
      </c>
      <c r="I17" s="30" t="s">
        <v>121</v>
      </c>
      <c r="J17" s="30">
        <v>2</v>
      </c>
      <c r="K17" s="30" t="s">
        <v>35</v>
      </c>
      <c r="L17" s="30" t="s">
        <v>891</v>
      </c>
      <c r="M17" s="30" t="s">
        <v>108</v>
      </c>
      <c r="T17" s="101" t="s">
        <v>506</v>
      </c>
      <c r="U17" s="101" t="s">
        <v>334</v>
      </c>
      <c r="V17" s="107"/>
      <c r="W17" s="107"/>
      <c r="X17" s="107" t="s">
        <v>386</v>
      </c>
      <c r="Y17" s="101" t="s">
        <v>333</v>
      </c>
      <c r="Z17" s="101">
        <v>1</v>
      </c>
      <c r="AA17" s="101" t="s">
        <v>35</v>
      </c>
      <c r="AB17" s="101" t="s">
        <v>336</v>
      </c>
      <c r="AC17" s="101" t="s">
        <v>325</v>
      </c>
    </row>
    <row r="18" spans="4:29" ht="15" customHeight="1">
      <c r="D18" s="30" t="s">
        <v>116</v>
      </c>
      <c r="E18" s="30" t="s">
        <v>122</v>
      </c>
      <c r="F18" s="35" t="s">
        <v>123</v>
      </c>
      <c r="I18" s="30" t="s">
        <v>124</v>
      </c>
      <c r="J18" s="30">
        <v>5</v>
      </c>
      <c r="K18" s="30" t="s">
        <v>35</v>
      </c>
      <c r="L18" s="30" t="s">
        <v>107</v>
      </c>
      <c r="M18" s="30" t="s">
        <v>108</v>
      </c>
      <c r="T18" s="101" t="s">
        <v>506</v>
      </c>
      <c r="U18" s="101" t="s">
        <v>46</v>
      </c>
      <c r="V18" s="107" t="s">
        <v>335</v>
      </c>
      <c r="W18" s="107"/>
      <c r="X18" s="107"/>
      <c r="Y18" s="101" t="s">
        <v>333</v>
      </c>
      <c r="Z18" s="101">
        <v>1</v>
      </c>
      <c r="AA18" s="101" t="s">
        <v>35</v>
      </c>
      <c r="AB18" s="101" t="s">
        <v>336</v>
      </c>
      <c r="AC18" s="101" t="s">
        <v>325</v>
      </c>
    </row>
    <row r="19" spans="4:29" ht="15" customHeight="1">
      <c r="D19" s="30" t="s">
        <v>116</v>
      </c>
      <c r="E19" s="30" t="s">
        <v>104</v>
      </c>
      <c r="F19" s="35" t="s">
        <v>117</v>
      </c>
      <c r="I19" s="30" t="s">
        <v>106</v>
      </c>
      <c r="J19" s="30" t="s">
        <v>107</v>
      </c>
      <c r="K19" s="30" t="s">
        <v>35</v>
      </c>
      <c r="L19" s="30" t="s">
        <v>107</v>
      </c>
      <c r="M19" s="30" t="s">
        <v>108</v>
      </c>
      <c r="T19" s="101" t="s">
        <v>506</v>
      </c>
      <c r="U19" s="101" t="s">
        <v>347</v>
      </c>
      <c r="V19" s="107"/>
      <c r="W19" s="107" t="s">
        <v>401</v>
      </c>
      <c r="X19" s="107"/>
      <c r="Y19" s="101" t="s">
        <v>329</v>
      </c>
      <c r="Z19" s="101">
        <v>2</v>
      </c>
      <c r="AA19" s="101" t="s">
        <v>35</v>
      </c>
      <c r="AB19" s="101" t="s">
        <v>330</v>
      </c>
      <c r="AC19" s="101" t="s">
        <v>325</v>
      </c>
    </row>
    <row r="20" spans="4:29" ht="15" customHeight="1">
      <c r="D20" s="30" t="s">
        <v>220</v>
      </c>
      <c r="E20" s="30" t="s">
        <v>109</v>
      </c>
      <c r="F20" s="35" t="s">
        <v>110</v>
      </c>
      <c r="I20" s="30" t="s">
        <v>111</v>
      </c>
      <c r="J20" s="30">
        <v>2</v>
      </c>
      <c r="K20" s="30" t="s">
        <v>35</v>
      </c>
      <c r="L20" s="30" t="s">
        <v>107</v>
      </c>
      <c r="M20" s="30" t="s">
        <v>108</v>
      </c>
      <c r="T20" s="101" t="s">
        <v>506</v>
      </c>
      <c r="U20" s="101" t="s">
        <v>349</v>
      </c>
      <c r="V20" s="107" t="s">
        <v>402</v>
      </c>
      <c r="W20" s="107"/>
      <c r="X20" s="107"/>
      <c r="Y20" s="101" t="s">
        <v>351</v>
      </c>
      <c r="Z20" s="101" t="s">
        <v>352</v>
      </c>
      <c r="AA20" s="101" t="s">
        <v>35</v>
      </c>
      <c r="AB20" s="101" t="s">
        <v>324</v>
      </c>
      <c r="AC20" s="101" t="s">
        <v>325</v>
      </c>
    </row>
    <row r="21" spans="4:29" ht="15" customHeight="1">
      <c r="D21" s="30" t="s">
        <v>220</v>
      </c>
      <c r="E21" s="30" t="s">
        <v>118</v>
      </c>
      <c r="G21" s="35" t="s">
        <v>119</v>
      </c>
      <c r="H21" s="35" t="s">
        <v>120</v>
      </c>
      <c r="I21" s="30" t="s">
        <v>121</v>
      </c>
      <c r="J21" s="30">
        <v>2</v>
      </c>
      <c r="K21" s="30" t="s">
        <v>35</v>
      </c>
      <c r="L21" s="30" t="s">
        <v>891</v>
      </c>
      <c r="M21" s="30" t="s">
        <v>108</v>
      </c>
      <c r="T21" s="101" t="s">
        <v>506</v>
      </c>
      <c r="U21" s="101" t="s">
        <v>353</v>
      </c>
      <c r="V21" s="107" t="s">
        <v>354</v>
      </c>
      <c r="W21" s="107"/>
      <c r="X21" s="107"/>
      <c r="Y21" s="101" t="s">
        <v>355</v>
      </c>
      <c r="Z21" s="101" t="s">
        <v>352</v>
      </c>
      <c r="AA21" s="101" t="s">
        <v>35</v>
      </c>
      <c r="AB21" s="101" t="s">
        <v>107</v>
      </c>
      <c r="AC21" s="101" t="s">
        <v>325</v>
      </c>
    </row>
    <row r="22" spans="4:29" ht="15" customHeight="1">
      <c r="D22" s="30" t="s">
        <v>220</v>
      </c>
      <c r="E22" s="30" t="s">
        <v>122</v>
      </c>
      <c r="F22" s="35" t="s">
        <v>204</v>
      </c>
      <c r="I22" s="30" t="s">
        <v>124</v>
      </c>
      <c r="J22" s="30">
        <v>5</v>
      </c>
      <c r="K22" s="30" t="s">
        <v>35</v>
      </c>
      <c r="L22" s="30" t="s">
        <v>107</v>
      </c>
      <c r="M22" s="30" t="s">
        <v>108</v>
      </c>
      <c r="T22" s="101" t="s">
        <v>506</v>
      </c>
      <c r="U22" s="101" t="s">
        <v>338</v>
      </c>
      <c r="V22" s="107" t="s">
        <v>339</v>
      </c>
      <c r="W22" s="107"/>
      <c r="X22" s="107"/>
      <c r="Y22" s="101" t="s">
        <v>333</v>
      </c>
      <c r="Z22" s="101">
        <v>1</v>
      </c>
      <c r="AA22" s="101" t="s">
        <v>35</v>
      </c>
      <c r="AB22" s="101" t="s">
        <v>107</v>
      </c>
      <c r="AC22" s="101" t="s">
        <v>325</v>
      </c>
    </row>
    <row r="23" spans="4:29" ht="15" customHeight="1">
      <c r="D23" s="30" t="s">
        <v>220</v>
      </c>
      <c r="E23" s="30" t="s">
        <v>104</v>
      </c>
      <c r="F23" s="35" t="s">
        <v>117</v>
      </c>
      <c r="I23" s="30" t="s">
        <v>106</v>
      </c>
      <c r="J23" s="30" t="s">
        <v>107</v>
      </c>
      <c r="K23" s="30" t="s">
        <v>35</v>
      </c>
      <c r="L23" s="30" t="s">
        <v>107</v>
      </c>
      <c r="M23" s="30" t="s">
        <v>108</v>
      </c>
      <c r="T23" s="115"/>
      <c r="U23" s="116"/>
      <c r="V23" s="116"/>
      <c r="W23" s="116"/>
      <c r="X23" s="116"/>
      <c r="Y23" s="116"/>
      <c r="Z23" s="116"/>
      <c r="AA23" s="116"/>
      <c r="AB23" s="116"/>
      <c r="AC23" s="116"/>
    </row>
    <row r="24" spans="4:29" ht="15" customHeight="1">
      <c r="D24" s="30" t="s">
        <v>233</v>
      </c>
      <c r="E24" s="30" t="s">
        <v>109</v>
      </c>
      <c r="F24" s="35" t="s">
        <v>110</v>
      </c>
      <c r="I24" s="30" t="s">
        <v>111</v>
      </c>
      <c r="J24" s="30">
        <v>2</v>
      </c>
      <c r="K24" s="30" t="s">
        <v>35</v>
      </c>
      <c r="L24" s="30" t="s">
        <v>107</v>
      </c>
      <c r="M24" s="30" t="s">
        <v>108</v>
      </c>
      <c r="T24" s="112" t="s">
        <v>851</v>
      </c>
    </row>
    <row r="25" spans="4:29" ht="15" customHeight="1">
      <c r="D25" s="30" t="s">
        <v>233</v>
      </c>
      <c r="E25" s="30" t="s">
        <v>118</v>
      </c>
      <c r="G25" s="35" t="s">
        <v>119</v>
      </c>
      <c r="H25" s="35" t="s">
        <v>120</v>
      </c>
      <c r="I25" s="30" t="s">
        <v>121</v>
      </c>
      <c r="J25" s="30">
        <v>2</v>
      </c>
      <c r="K25" s="30" t="s">
        <v>35</v>
      </c>
      <c r="L25" s="30" t="s">
        <v>891</v>
      </c>
      <c r="M25" s="30" t="s">
        <v>108</v>
      </c>
      <c r="T25" s="112" t="s">
        <v>853</v>
      </c>
    </row>
    <row r="26" spans="4:29" ht="15" customHeight="1">
      <c r="D26" s="30" t="s">
        <v>233</v>
      </c>
      <c r="E26" s="30" t="s">
        <v>122</v>
      </c>
      <c r="F26" s="35" t="s">
        <v>234</v>
      </c>
      <c r="I26" s="30" t="s">
        <v>124</v>
      </c>
      <c r="J26" s="30">
        <v>5</v>
      </c>
      <c r="K26" s="30" t="s">
        <v>35</v>
      </c>
      <c r="L26" s="30" t="s">
        <v>107</v>
      </c>
      <c r="M26" s="30" t="s">
        <v>108</v>
      </c>
      <c r="T26" s="117" t="s">
        <v>836</v>
      </c>
    </row>
    <row r="27" spans="4:29" ht="14.25" customHeight="1">
      <c r="D27" s="30" t="s">
        <v>233</v>
      </c>
      <c r="E27" s="30" t="s">
        <v>104</v>
      </c>
      <c r="F27" s="35" t="s">
        <v>117</v>
      </c>
      <c r="I27" s="30" t="s">
        <v>106</v>
      </c>
      <c r="J27" s="30" t="s">
        <v>107</v>
      </c>
      <c r="K27" s="30" t="s">
        <v>35</v>
      </c>
      <c r="L27" s="30" t="s">
        <v>107</v>
      </c>
      <c r="M27" s="30" t="s">
        <v>108</v>
      </c>
    </row>
    <row r="28" spans="4:29" ht="15" customHeight="1">
      <c r="D28" s="30" t="s">
        <v>125</v>
      </c>
      <c r="E28" s="30" t="s">
        <v>109</v>
      </c>
      <c r="F28" s="35" t="s">
        <v>110</v>
      </c>
      <c r="I28" s="30" t="s">
        <v>111</v>
      </c>
      <c r="J28" s="30">
        <v>2</v>
      </c>
      <c r="K28" s="30" t="s">
        <v>35</v>
      </c>
      <c r="L28" s="30" t="s">
        <v>107</v>
      </c>
      <c r="M28" s="30" t="s">
        <v>108</v>
      </c>
    </row>
    <row r="29" spans="4:29" ht="15" customHeight="1">
      <c r="D29" s="30" t="s">
        <v>125</v>
      </c>
      <c r="E29" s="30" t="s">
        <v>118</v>
      </c>
      <c r="G29" s="35" t="s">
        <v>119</v>
      </c>
      <c r="H29" s="35" t="s">
        <v>120</v>
      </c>
      <c r="I29" s="30" t="s">
        <v>121</v>
      </c>
      <c r="J29" s="30">
        <v>2</v>
      </c>
      <c r="K29" s="30" t="s">
        <v>35</v>
      </c>
      <c r="L29" s="30" t="s">
        <v>891</v>
      </c>
      <c r="M29" s="30" t="s">
        <v>108</v>
      </c>
    </row>
    <row r="30" spans="4:29" ht="15" customHeight="1">
      <c r="D30" s="30" t="s">
        <v>125</v>
      </c>
      <c r="E30" s="30" t="s">
        <v>122</v>
      </c>
      <c r="F30" s="35" t="s">
        <v>126</v>
      </c>
      <c r="I30" s="30" t="s">
        <v>124</v>
      </c>
      <c r="J30" s="30">
        <v>5</v>
      </c>
      <c r="K30" s="30" t="s">
        <v>35</v>
      </c>
      <c r="L30" s="30" t="s">
        <v>107</v>
      </c>
      <c r="M30" s="30" t="s">
        <v>108</v>
      </c>
    </row>
    <row r="31" spans="4:29" ht="15" customHeight="1">
      <c r="D31" s="30" t="s">
        <v>125</v>
      </c>
      <c r="E31" s="30" t="s">
        <v>104</v>
      </c>
      <c r="F31" s="35" t="s">
        <v>117</v>
      </c>
      <c r="I31" s="30" t="s">
        <v>106</v>
      </c>
      <c r="J31" s="30" t="s">
        <v>107</v>
      </c>
      <c r="K31" s="30" t="s">
        <v>35</v>
      </c>
      <c r="L31" s="30" t="s">
        <v>107</v>
      </c>
      <c r="M31" s="30" t="s">
        <v>108</v>
      </c>
    </row>
    <row r="32" spans="4:29" ht="15" customHeight="1">
      <c r="D32" s="30" t="s">
        <v>257</v>
      </c>
      <c r="E32" s="30" t="s">
        <v>109</v>
      </c>
      <c r="F32" s="35" t="s">
        <v>110</v>
      </c>
      <c r="I32" s="30" t="s">
        <v>111</v>
      </c>
      <c r="J32" s="30">
        <v>2</v>
      </c>
      <c r="K32" s="30" t="s">
        <v>35</v>
      </c>
      <c r="L32" s="30" t="s">
        <v>107</v>
      </c>
      <c r="M32" s="30" t="s">
        <v>108</v>
      </c>
      <c r="T32" s="112" t="s">
        <v>837</v>
      </c>
    </row>
    <row r="33" spans="4:29" ht="15" customHeight="1">
      <c r="D33" s="30" t="s">
        <v>257</v>
      </c>
      <c r="E33" s="30" t="s">
        <v>118</v>
      </c>
      <c r="G33" s="35" t="s">
        <v>119</v>
      </c>
      <c r="H33" s="35" t="s">
        <v>120</v>
      </c>
      <c r="I33" s="30" t="s">
        <v>121</v>
      </c>
      <c r="J33" s="30">
        <v>2</v>
      </c>
      <c r="K33" s="30" t="s">
        <v>35</v>
      </c>
      <c r="L33" s="30" t="s">
        <v>891</v>
      </c>
      <c r="M33" s="30" t="s">
        <v>108</v>
      </c>
      <c r="T33" s="110" t="s">
        <v>833</v>
      </c>
      <c r="U33" s="108"/>
      <c r="V33" s="108"/>
      <c r="W33" s="108"/>
      <c r="X33" s="108"/>
      <c r="Y33" s="108"/>
      <c r="Z33" s="108"/>
      <c r="AA33" s="108"/>
      <c r="AB33" s="108"/>
      <c r="AC33" s="108"/>
    </row>
    <row r="34" spans="4:29" ht="15" customHeight="1">
      <c r="D34" s="30" t="s">
        <v>257</v>
      </c>
      <c r="E34" s="30" t="s">
        <v>122</v>
      </c>
      <c r="F34" s="35" t="s">
        <v>258</v>
      </c>
      <c r="I34" s="30" t="s">
        <v>124</v>
      </c>
      <c r="J34" s="30">
        <v>5</v>
      </c>
      <c r="K34" s="30" t="s">
        <v>35</v>
      </c>
      <c r="L34" s="30" t="s">
        <v>107</v>
      </c>
      <c r="M34" s="30" t="s">
        <v>108</v>
      </c>
      <c r="T34" s="112" t="s">
        <v>852</v>
      </c>
    </row>
    <row r="35" spans="4:29" ht="15" customHeight="1">
      <c r="D35" s="30" t="s">
        <v>257</v>
      </c>
      <c r="E35" s="30" t="s">
        <v>104</v>
      </c>
      <c r="F35" s="35" t="s">
        <v>117</v>
      </c>
      <c r="I35" s="30" t="s">
        <v>106</v>
      </c>
      <c r="J35" s="30" t="s">
        <v>107</v>
      </c>
      <c r="K35" s="30" t="s">
        <v>35</v>
      </c>
      <c r="L35" s="30" t="s">
        <v>107</v>
      </c>
      <c r="M35" s="30" t="s">
        <v>108</v>
      </c>
    </row>
    <row r="36" spans="4:29" ht="15" customHeight="1">
      <c r="D36" s="30" t="s">
        <v>272</v>
      </c>
      <c r="E36" s="30" t="s">
        <v>109</v>
      </c>
      <c r="F36" s="35" t="s">
        <v>110</v>
      </c>
      <c r="I36" s="30" t="s">
        <v>111</v>
      </c>
      <c r="J36" s="30">
        <v>2</v>
      </c>
      <c r="K36" s="30" t="s">
        <v>35</v>
      </c>
      <c r="L36" s="30" t="s">
        <v>107</v>
      </c>
      <c r="M36" s="30" t="s">
        <v>108</v>
      </c>
    </row>
    <row r="37" spans="4:29" ht="15" customHeight="1">
      <c r="D37" s="30" t="s">
        <v>272</v>
      </c>
      <c r="E37" s="30" t="s">
        <v>118</v>
      </c>
      <c r="G37" s="35" t="s">
        <v>160</v>
      </c>
      <c r="H37" s="35" t="s">
        <v>161</v>
      </c>
      <c r="I37" s="30" t="s">
        <v>121</v>
      </c>
      <c r="J37" s="30">
        <v>2</v>
      </c>
      <c r="K37" s="30" t="s">
        <v>35</v>
      </c>
      <c r="L37" s="30" t="s">
        <v>891</v>
      </c>
      <c r="M37" s="30" t="s">
        <v>108</v>
      </c>
    </row>
    <row r="38" spans="4:29" ht="15" customHeight="1">
      <c r="D38" s="30" t="s">
        <v>272</v>
      </c>
      <c r="E38" s="30" t="s">
        <v>122</v>
      </c>
      <c r="F38" s="35" t="s">
        <v>273</v>
      </c>
      <c r="I38" s="30" t="s">
        <v>124</v>
      </c>
      <c r="J38" s="30">
        <v>5</v>
      </c>
      <c r="K38" s="30" t="s">
        <v>35</v>
      </c>
      <c r="L38" s="30" t="s">
        <v>107</v>
      </c>
      <c r="M38" s="30" t="s">
        <v>108</v>
      </c>
    </row>
    <row r="39" spans="4:29" ht="15" customHeight="1">
      <c r="D39" s="30" t="s">
        <v>272</v>
      </c>
      <c r="E39" s="30" t="s">
        <v>104</v>
      </c>
      <c r="F39" s="35" t="s">
        <v>117</v>
      </c>
      <c r="I39" s="30" t="s">
        <v>106</v>
      </c>
      <c r="J39" s="30" t="s">
        <v>107</v>
      </c>
      <c r="K39" s="30" t="s">
        <v>35</v>
      </c>
      <c r="L39" s="30" t="s">
        <v>107</v>
      </c>
      <c r="M39" s="30" t="s">
        <v>108</v>
      </c>
    </row>
    <row r="40" spans="4:29" ht="15" customHeight="1">
      <c r="D40" s="30" t="s">
        <v>276</v>
      </c>
      <c r="E40" s="30" t="s">
        <v>109</v>
      </c>
      <c r="F40" s="35" t="s">
        <v>110</v>
      </c>
      <c r="I40" s="30" t="s">
        <v>111</v>
      </c>
      <c r="J40" s="30">
        <v>2</v>
      </c>
      <c r="K40" s="30" t="s">
        <v>35</v>
      </c>
      <c r="L40" s="30" t="s">
        <v>107</v>
      </c>
      <c r="M40" s="30" t="s">
        <v>108</v>
      </c>
    </row>
    <row r="41" spans="4:29" ht="15" customHeight="1">
      <c r="D41" s="30" t="s">
        <v>276</v>
      </c>
      <c r="E41" s="30" t="s">
        <v>118</v>
      </c>
      <c r="G41" s="35" t="s">
        <v>142</v>
      </c>
      <c r="H41" s="35" t="s">
        <v>139</v>
      </c>
      <c r="I41" s="30" t="s">
        <v>121</v>
      </c>
      <c r="J41" s="30">
        <v>2</v>
      </c>
      <c r="K41" s="30" t="s">
        <v>35</v>
      </c>
      <c r="L41" s="30" t="s">
        <v>891</v>
      </c>
      <c r="M41" s="30" t="s">
        <v>108</v>
      </c>
    </row>
    <row r="42" spans="4:29" ht="15" customHeight="1">
      <c r="D42" s="30" t="s">
        <v>276</v>
      </c>
      <c r="E42" s="30" t="s">
        <v>122</v>
      </c>
      <c r="F42" s="35" t="s">
        <v>204</v>
      </c>
      <c r="I42" s="30" t="s">
        <v>124</v>
      </c>
      <c r="J42" s="30">
        <v>5</v>
      </c>
      <c r="K42" s="30" t="s">
        <v>35</v>
      </c>
      <c r="L42" s="30" t="s">
        <v>107</v>
      </c>
      <c r="M42" s="30" t="s">
        <v>108</v>
      </c>
    </row>
    <row r="43" spans="4:29" ht="15" customHeight="1">
      <c r="D43" s="30" t="s">
        <v>276</v>
      </c>
      <c r="E43" s="30" t="s">
        <v>104</v>
      </c>
      <c r="F43" s="35" t="s">
        <v>277</v>
      </c>
      <c r="I43" s="30" t="s">
        <v>106</v>
      </c>
      <c r="J43" s="30" t="s">
        <v>107</v>
      </c>
      <c r="K43" s="30" t="s">
        <v>35</v>
      </c>
      <c r="L43" s="30" t="s">
        <v>107</v>
      </c>
      <c r="M43" s="30" t="s">
        <v>108</v>
      </c>
    </row>
    <row r="44" spans="4:29" ht="15" customHeight="1">
      <c r="D44" s="30" t="s">
        <v>554</v>
      </c>
      <c r="E44" s="30" t="s">
        <v>109</v>
      </c>
      <c r="F44" s="35" t="s">
        <v>110</v>
      </c>
      <c r="I44" s="30" t="s">
        <v>111</v>
      </c>
      <c r="J44" s="30">
        <v>2</v>
      </c>
      <c r="K44" s="30" t="s">
        <v>35</v>
      </c>
      <c r="L44" s="30" t="s">
        <v>107</v>
      </c>
      <c r="M44" s="30" t="s">
        <v>108</v>
      </c>
    </row>
    <row r="45" spans="4:29" ht="15" customHeight="1">
      <c r="D45" s="30" t="s">
        <v>554</v>
      </c>
      <c r="E45" s="30" t="s">
        <v>118</v>
      </c>
      <c r="G45" s="35" t="s">
        <v>142</v>
      </c>
      <c r="H45" s="35" t="s">
        <v>139</v>
      </c>
      <c r="I45" s="30" t="s">
        <v>121</v>
      </c>
      <c r="J45" s="30">
        <v>2</v>
      </c>
      <c r="K45" s="30" t="s">
        <v>35</v>
      </c>
      <c r="L45" s="30" t="s">
        <v>891</v>
      </c>
      <c r="M45" s="30" t="s">
        <v>108</v>
      </c>
    </row>
    <row r="46" spans="4:29" ht="15" customHeight="1">
      <c r="D46" s="30" t="s">
        <v>554</v>
      </c>
      <c r="E46" s="30" t="s">
        <v>122</v>
      </c>
      <c r="F46" s="35" t="s">
        <v>123</v>
      </c>
      <c r="I46" s="30" t="s">
        <v>124</v>
      </c>
      <c r="J46" s="30">
        <v>5</v>
      </c>
      <c r="K46" s="30" t="s">
        <v>35</v>
      </c>
      <c r="L46" s="30" t="s">
        <v>107</v>
      </c>
      <c r="M46" s="30" t="s">
        <v>108</v>
      </c>
      <c r="T46" s="112"/>
    </row>
    <row r="47" spans="4:29" ht="15" customHeight="1">
      <c r="D47" s="30" t="s">
        <v>554</v>
      </c>
      <c r="E47" s="30" t="s">
        <v>104</v>
      </c>
      <c r="F47" s="35" t="s">
        <v>277</v>
      </c>
      <c r="I47" s="30" t="s">
        <v>106</v>
      </c>
      <c r="J47" s="30" t="s">
        <v>107</v>
      </c>
      <c r="K47" s="30" t="s">
        <v>35</v>
      </c>
      <c r="L47" s="30" t="s">
        <v>107</v>
      </c>
      <c r="M47" s="30" t="s">
        <v>108</v>
      </c>
    </row>
    <row r="48" spans="4:29" ht="15" customHeight="1">
      <c r="D48" s="30" t="s">
        <v>574</v>
      </c>
      <c r="E48" s="30" t="s">
        <v>109</v>
      </c>
      <c r="F48" s="35" t="s">
        <v>110</v>
      </c>
      <c r="I48" s="30" t="s">
        <v>111</v>
      </c>
      <c r="J48" s="30">
        <v>2</v>
      </c>
      <c r="K48" s="30" t="s">
        <v>35</v>
      </c>
      <c r="L48" s="30" t="s">
        <v>107</v>
      </c>
      <c r="M48" s="30" t="s">
        <v>108</v>
      </c>
    </row>
    <row r="49" spans="4:20" ht="15" customHeight="1">
      <c r="D49" s="30" t="s">
        <v>574</v>
      </c>
      <c r="E49" s="30" t="s">
        <v>118</v>
      </c>
      <c r="G49" s="35" t="s">
        <v>145</v>
      </c>
      <c r="H49" s="35" t="s">
        <v>129</v>
      </c>
      <c r="I49" s="30" t="s">
        <v>121</v>
      </c>
      <c r="J49" s="30">
        <v>2</v>
      </c>
      <c r="K49" s="30" t="s">
        <v>35</v>
      </c>
      <c r="L49" s="30" t="s">
        <v>891</v>
      </c>
      <c r="M49" s="30" t="s">
        <v>108</v>
      </c>
    </row>
    <row r="50" spans="4:20" ht="15" customHeight="1">
      <c r="D50" s="30" t="s">
        <v>574</v>
      </c>
      <c r="E50" s="30" t="s">
        <v>122</v>
      </c>
      <c r="F50" s="35" t="s">
        <v>575</v>
      </c>
      <c r="I50" s="30" t="s">
        <v>124</v>
      </c>
      <c r="J50" s="30">
        <v>5</v>
      </c>
      <c r="K50" s="30" t="s">
        <v>35</v>
      </c>
      <c r="L50" s="30" t="s">
        <v>107</v>
      </c>
      <c r="M50" s="30" t="s">
        <v>108</v>
      </c>
    </row>
    <row r="51" spans="4:20" ht="15" customHeight="1">
      <c r="D51" s="30" t="s">
        <v>574</v>
      </c>
      <c r="E51" s="30" t="s">
        <v>104</v>
      </c>
      <c r="F51" s="30" t="s">
        <v>144</v>
      </c>
      <c r="I51" s="30" t="s">
        <v>106</v>
      </c>
      <c r="J51" s="30" t="s">
        <v>107</v>
      </c>
      <c r="K51" s="30" t="s">
        <v>35</v>
      </c>
      <c r="L51" s="30" t="s">
        <v>107</v>
      </c>
      <c r="M51" s="30" t="s">
        <v>108</v>
      </c>
    </row>
    <row r="52" spans="4:20" ht="15" customHeight="1">
      <c r="D52" s="30" t="s">
        <v>305</v>
      </c>
      <c r="E52" s="30" t="s">
        <v>109</v>
      </c>
      <c r="F52" s="35" t="s">
        <v>110</v>
      </c>
      <c r="I52" s="30" t="s">
        <v>111</v>
      </c>
      <c r="J52" s="30">
        <v>2</v>
      </c>
      <c r="K52" s="30" t="s">
        <v>35</v>
      </c>
      <c r="L52" s="30" t="s">
        <v>107</v>
      </c>
      <c r="M52" s="30" t="s">
        <v>108</v>
      </c>
    </row>
    <row r="53" spans="4:20">
      <c r="D53" s="30" t="s">
        <v>305</v>
      </c>
      <c r="E53" s="30" t="s">
        <v>118</v>
      </c>
      <c r="G53" s="35" t="s">
        <v>145</v>
      </c>
      <c r="H53" s="35" t="s">
        <v>129</v>
      </c>
      <c r="I53" s="30" t="s">
        <v>121</v>
      </c>
      <c r="J53" s="30">
        <v>2</v>
      </c>
      <c r="K53" s="30" t="s">
        <v>35</v>
      </c>
      <c r="L53" s="30" t="s">
        <v>891</v>
      </c>
      <c r="M53" s="30" t="s">
        <v>108</v>
      </c>
    </row>
    <row r="54" spans="4:20">
      <c r="D54" s="30" t="s">
        <v>305</v>
      </c>
      <c r="E54" s="30" t="s">
        <v>122</v>
      </c>
      <c r="F54" s="35" t="s">
        <v>204</v>
      </c>
      <c r="I54" s="30" t="s">
        <v>124</v>
      </c>
      <c r="J54" s="30">
        <v>5</v>
      </c>
      <c r="K54" s="30" t="s">
        <v>35</v>
      </c>
      <c r="L54" s="30" t="s">
        <v>107</v>
      </c>
      <c r="M54" s="30" t="s">
        <v>108</v>
      </c>
    </row>
    <row r="55" spans="4:20">
      <c r="D55" s="30" t="s">
        <v>305</v>
      </c>
      <c r="E55" s="30" t="s">
        <v>104</v>
      </c>
      <c r="F55" s="35" t="s">
        <v>144</v>
      </c>
      <c r="I55" s="30" t="s">
        <v>106</v>
      </c>
      <c r="J55" s="30" t="s">
        <v>107</v>
      </c>
      <c r="K55" s="30" t="s">
        <v>35</v>
      </c>
      <c r="L55" s="30" t="s">
        <v>107</v>
      </c>
      <c r="M55" s="30" t="s">
        <v>108</v>
      </c>
    </row>
    <row r="56" spans="4:20">
      <c r="D56" s="30" t="s">
        <v>306</v>
      </c>
      <c r="E56" s="30" t="s">
        <v>109</v>
      </c>
      <c r="F56" s="35" t="s">
        <v>110</v>
      </c>
      <c r="I56" s="30" t="s">
        <v>111</v>
      </c>
      <c r="J56" s="30">
        <v>2</v>
      </c>
      <c r="K56" s="30" t="s">
        <v>35</v>
      </c>
      <c r="L56" s="30" t="s">
        <v>107</v>
      </c>
      <c r="M56" s="30" t="s">
        <v>108</v>
      </c>
    </row>
    <row r="57" spans="4:20" ht="15" customHeight="1">
      <c r="D57" s="30" t="s">
        <v>306</v>
      </c>
      <c r="E57" s="30" t="s">
        <v>118</v>
      </c>
      <c r="G57" s="35" t="s">
        <v>145</v>
      </c>
      <c r="H57" s="35" t="s">
        <v>129</v>
      </c>
      <c r="I57" s="30" t="s">
        <v>121</v>
      </c>
      <c r="J57" s="30">
        <v>2</v>
      </c>
      <c r="K57" s="30" t="s">
        <v>35</v>
      </c>
      <c r="L57" s="30" t="s">
        <v>891</v>
      </c>
      <c r="M57" s="30" t="s">
        <v>108</v>
      </c>
    </row>
    <row r="58" spans="4:20" ht="15" customHeight="1">
      <c r="D58" s="30" t="s">
        <v>306</v>
      </c>
      <c r="E58" s="30" t="s">
        <v>122</v>
      </c>
      <c r="F58" s="35" t="s">
        <v>307</v>
      </c>
      <c r="I58" s="30" t="s">
        <v>124</v>
      </c>
      <c r="J58" s="30">
        <v>5</v>
      </c>
      <c r="K58" s="30" t="s">
        <v>35</v>
      </c>
      <c r="L58" s="30" t="s">
        <v>107</v>
      </c>
      <c r="M58" s="30" t="s">
        <v>108</v>
      </c>
    </row>
    <row r="59" spans="4:20" ht="15" customHeight="1">
      <c r="D59" s="30" t="s">
        <v>306</v>
      </c>
      <c r="E59" s="30" t="s">
        <v>104</v>
      </c>
      <c r="F59" s="35" t="s">
        <v>144</v>
      </c>
      <c r="I59" s="30" t="s">
        <v>106</v>
      </c>
      <c r="J59" s="30" t="s">
        <v>107</v>
      </c>
      <c r="K59" s="30" t="s">
        <v>35</v>
      </c>
      <c r="L59" s="30" t="s">
        <v>107</v>
      </c>
      <c r="M59" s="30" t="s">
        <v>108</v>
      </c>
    </row>
    <row r="60" spans="4:20" ht="15" customHeight="1">
      <c r="D60" s="30" t="s">
        <v>308</v>
      </c>
      <c r="E60" s="30" t="s">
        <v>109</v>
      </c>
      <c r="F60" s="35" t="s">
        <v>110</v>
      </c>
      <c r="I60" s="30" t="s">
        <v>111</v>
      </c>
      <c r="J60" s="30">
        <v>2</v>
      </c>
      <c r="K60" s="30" t="s">
        <v>35</v>
      </c>
      <c r="L60" s="30" t="s">
        <v>107</v>
      </c>
      <c r="M60" s="30" t="s">
        <v>108</v>
      </c>
    </row>
    <row r="61" spans="4:20" ht="15" customHeight="1">
      <c r="D61" s="30" t="s">
        <v>308</v>
      </c>
      <c r="E61" s="30" t="s">
        <v>118</v>
      </c>
      <c r="G61" s="35" t="s">
        <v>129</v>
      </c>
      <c r="H61" s="35" t="s">
        <v>130</v>
      </c>
      <c r="I61" s="30" t="s">
        <v>121</v>
      </c>
      <c r="J61" s="30">
        <v>2</v>
      </c>
      <c r="K61" s="30" t="s">
        <v>35</v>
      </c>
      <c r="L61" s="30" t="s">
        <v>891</v>
      </c>
      <c r="M61" s="30" t="s">
        <v>108</v>
      </c>
    </row>
    <row r="62" spans="4:20" ht="15" customHeight="1">
      <c r="D62" s="30" t="s">
        <v>308</v>
      </c>
      <c r="E62" s="30" t="s">
        <v>122</v>
      </c>
      <c r="F62" s="35" t="s">
        <v>309</v>
      </c>
      <c r="I62" s="30" t="s">
        <v>124</v>
      </c>
      <c r="J62" s="30">
        <v>5</v>
      </c>
      <c r="K62" s="30" t="s">
        <v>35</v>
      </c>
      <c r="L62" s="30" t="s">
        <v>107</v>
      </c>
      <c r="M62" s="30" t="s">
        <v>108</v>
      </c>
      <c r="T62" s="112" t="s">
        <v>832</v>
      </c>
    </row>
    <row r="63" spans="4:20" ht="15" customHeight="1">
      <c r="D63" s="30" t="s">
        <v>308</v>
      </c>
      <c r="E63" s="30" t="s">
        <v>104</v>
      </c>
      <c r="F63" s="35" t="s">
        <v>144</v>
      </c>
      <c r="I63" s="30" t="s">
        <v>106</v>
      </c>
      <c r="J63" s="30" t="s">
        <v>107</v>
      </c>
      <c r="K63" s="30" t="s">
        <v>35</v>
      </c>
      <c r="L63" s="30" t="s">
        <v>107</v>
      </c>
      <c r="M63" s="30" t="s">
        <v>108</v>
      </c>
    </row>
    <row r="64" spans="4:20" ht="15" customHeight="1">
      <c r="D64" s="30" t="s">
        <v>543</v>
      </c>
      <c r="E64" s="30" t="s">
        <v>109</v>
      </c>
      <c r="F64" s="35" t="s">
        <v>110</v>
      </c>
      <c r="I64" s="30" t="s">
        <v>111</v>
      </c>
      <c r="J64" s="30">
        <v>2</v>
      </c>
      <c r="K64" s="30" t="s">
        <v>35</v>
      </c>
      <c r="L64" s="30" t="s">
        <v>107</v>
      </c>
      <c r="M64" s="30" t="s">
        <v>108</v>
      </c>
    </row>
    <row r="65" spans="4:20" ht="15" customHeight="1">
      <c r="D65" s="30" t="s">
        <v>543</v>
      </c>
      <c r="E65" s="30" t="s">
        <v>118</v>
      </c>
      <c r="G65" s="35" t="s">
        <v>130</v>
      </c>
      <c r="H65" s="35" t="s">
        <v>289</v>
      </c>
      <c r="I65" s="30" t="s">
        <v>121</v>
      </c>
      <c r="J65" s="30">
        <v>2</v>
      </c>
      <c r="K65" s="30" t="s">
        <v>35</v>
      </c>
      <c r="L65" s="30" t="s">
        <v>891</v>
      </c>
      <c r="M65" s="30" t="s">
        <v>108</v>
      </c>
    </row>
    <row r="66" spans="4:20" ht="15" customHeight="1">
      <c r="D66" s="30" t="s">
        <v>543</v>
      </c>
      <c r="E66" s="30" t="s">
        <v>122</v>
      </c>
      <c r="F66" s="35" t="s">
        <v>544</v>
      </c>
      <c r="I66" s="30" t="s">
        <v>124</v>
      </c>
      <c r="J66" s="30">
        <v>5</v>
      </c>
      <c r="K66" s="30" t="s">
        <v>35</v>
      </c>
      <c r="L66" s="30" t="s">
        <v>107</v>
      </c>
      <c r="M66" s="30" t="s">
        <v>108</v>
      </c>
    </row>
    <row r="67" spans="4:20" ht="15" customHeight="1">
      <c r="D67" s="30" t="s">
        <v>543</v>
      </c>
      <c r="E67" s="30" t="s">
        <v>104</v>
      </c>
      <c r="F67" s="35" t="s">
        <v>144</v>
      </c>
      <c r="I67" s="30" t="s">
        <v>106</v>
      </c>
      <c r="J67" s="30" t="s">
        <v>107</v>
      </c>
      <c r="K67" s="30" t="s">
        <v>35</v>
      </c>
      <c r="L67" s="30" t="s">
        <v>107</v>
      </c>
      <c r="M67" s="30" t="s">
        <v>108</v>
      </c>
    </row>
    <row r="68" spans="4:20" ht="15" customHeight="1">
      <c r="D68" s="30" t="s">
        <v>310</v>
      </c>
      <c r="E68" s="30" t="s">
        <v>109</v>
      </c>
      <c r="F68" s="35" t="s">
        <v>110</v>
      </c>
      <c r="I68" s="30" t="s">
        <v>111</v>
      </c>
      <c r="J68" s="30">
        <v>2</v>
      </c>
      <c r="K68" s="30" t="s">
        <v>35</v>
      </c>
      <c r="L68" s="30" t="s">
        <v>107</v>
      </c>
      <c r="M68" s="30" t="s">
        <v>108</v>
      </c>
    </row>
    <row r="69" spans="4:20" ht="15" customHeight="1">
      <c r="D69" s="30" t="s">
        <v>310</v>
      </c>
      <c r="E69" s="30" t="s">
        <v>131</v>
      </c>
      <c r="G69" s="35" t="s">
        <v>187</v>
      </c>
      <c r="H69" s="35" t="s">
        <v>163</v>
      </c>
      <c r="I69" s="30" t="s">
        <v>134</v>
      </c>
      <c r="J69" s="30">
        <v>5</v>
      </c>
      <c r="K69" s="30" t="s">
        <v>35</v>
      </c>
      <c r="L69" s="30" t="s">
        <v>135</v>
      </c>
      <c r="M69" s="30" t="s">
        <v>108</v>
      </c>
    </row>
    <row r="70" spans="4:20" ht="15" customHeight="1">
      <c r="D70" s="30" t="s">
        <v>310</v>
      </c>
      <c r="E70" s="30" t="s">
        <v>118</v>
      </c>
      <c r="G70" s="35" t="s">
        <v>145</v>
      </c>
      <c r="H70" s="35" t="s">
        <v>129</v>
      </c>
      <c r="I70" s="30" t="s">
        <v>121</v>
      </c>
      <c r="J70" s="30">
        <v>2</v>
      </c>
      <c r="K70" s="30" t="s">
        <v>35</v>
      </c>
      <c r="L70" s="30" t="s">
        <v>891</v>
      </c>
      <c r="M70" s="30" t="s">
        <v>108</v>
      </c>
    </row>
    <row r="71" spans="4:20" ht="15" customHeight="1">
      <c r="D71" s="30" t="s">
        <v>310</v>
      </c>
      <c r="E71" s="30" t="s">
        <v>122</v>
      </c>
      <c r="F71" s="35" t="s">
        <v>312</v>
      </c>
      <c r="I71" s="30" t="s">
        <v>124</v>
      </c>
      <c r="J71" s="30">
        <v>5</v>
      </c>
      <c r="K71" s="30" t="s">
        <v>35</v>
      </c>
      <c r="L71" s="30" t="s">
        <v>107</v>
      </c>
      <c r="M71" s="30" t="s">
        <v>108</v>
      </c>
    </row>
    <row r="72" spans="4:20" ht="15" customHeight="1">
      <c r="D72" s="30" t="s">
        <v>310</v>
      </c>
      <c r="E72" s="30" t="s">
        <v>104</v>
      </c>
      <c r="F72" s="35" t="s">
        <v>311</v>
      </c>
      <c r="I72" s="30" t="s">
        <v>106</v>
      </c>
      <c r="J72" s="30" t="s">
        <v>107</v>
      </c>
      <c r="K72" s="30" t="s">
        <v>35</v>
      </c>
      <c r="L72" s="30" t="s">
        <v>107</v>
      </c>
      <c r="M72" s="30" t="s">
        <v>108</v>
      </c>
      <c r="T72" s="109"/>
    </row>
    <row r="73" spans="4:20" ht="15" customHeight="1">
      <c r="D73" s="30" t="s">
        <v>637</v>
      </c>
      <c r="E73" s="30" t="s">
        <v>109</v>
      </c>
      <c r="F73" s="35" t="s">
        <v>110</v>
      </c>
      <c r="I73" s="30" t="s">
        <v>111</v>
      </c>
      <c r="J73" s="30">
        <v>2</v>
      </c>
      <c r="K73" s="30" t="s">
        <v>35</v>
      </c>
      <c r="L73" s="30" t="s">
        <v>107</v>
      </c>
      <c r="M73" s="30" t="s">
        <v>108</v>
      </c>
    </row>
    <row r="74" spans="4:20" ht="15" customHeight="1">
      <c r="D74" s="30" t="s">
        <v>637</v>
      </c>
      <c r="E74" s="30" t="s">
        <v>118</v>
      </c>
      <c r="G74" s="35" t="s">
        <v>129</v>
      </c>
      <c r="H74" s="35" t="s">
        <v>130</v>
      </c>
      <c r="I74" s="30" t="s">
        <v>121</v>
      </c>
      <c r="J74" s="30">
        <v>2</v>
      </c>
      <c r="K74" s="30" t="s">
        <v>35</v>
      </c>
      <c r="L74" s="30" t="s">
        <v>891</v>
      </c>
      <c r="M74" s="30" t="s">
        <v>108</v>
      </c>
    </row>
    <row r="75" spans="4:20" ht="15" customHeight="1">
      <c r="D75" s="30" t="s">
        <v>637</v>
      </c>
      <c r="E75" s="30" t="s">
        <v>122</v>
      </c>
      <c r="F75" s="35" t="s">
        <v>136</v>
      </c>
      <c r="I75" s="30" t="s">
        <v>124</v>
      </c>
      <c r="J75" s="30">
        <v>5</v>
      </c>
      <c r="K75" s="30" t="s">
        <v>35</v>
      </c>
      <c r="L75" s="30" t="s">
        <v>107</v>
      </c>
      <c r="M75" s="30" t="s">
        <v>108</v>
      </c>
    </row>
    <row r="76" spans="4:20" ht="15" customHeight="1">
      <c r="D76" s="30" t="s">
        <v>637</v>
      </c>
      <c r="E76" s="30" t="s">
        <v>104</v>
      </c>
      <c r="F76" s="30" t="s">
        <v>638</v>
      </c>
      <c r="I76" s="30" t="s">
        <v>106</v>
      </c>
      <c r="J76" s="30">
        <v>2</v>
      </c>
      <c r="K76" s="30" t="s">
        <v>35</v>
      </c>
      <c r="L76" s="30" t="s">
        <v>107</v>
      </c>
      <c r="M76" s="30" t="s">
        <v>108</v>
      </c>
    </row>
    <row r="77" spans="4:20" ht="15" customHeight="1">
      <c r="D77" s="30" t="s">
        <v>640</v>
      </c>
      <c r="E77" s="30" t="s">
        <v>109</v>
      </c>
      <c r="F77" s="35" t="s">
        <v>110</v>
      </c>
      <c r="I77" s="30" t="s">
        <v>111</v>
      </c>
      <c r="J77" s="30">
        <v>2</v>
      </c>
      <c r="K77" s="30" t="s">
        <v>35</v>
      </c>
      <c r="L77" s="30" t="s">
        <v>107</v>
      </c>
      <c r="M77" s="30" t="s">
        <v>108</v>
      </c>
    </row>
    <row r="78" spans="4:20" ht="15" customHeight="1">
      <c r="D78" s="30" t="s">
        <v>640</v>
      </c>
      <c r="E78" s="30" t="s">
        <v>131</v>
      </c>
      <c r="G78" s="35" t="s">
        <v>132</v>
      </c>
      <c r="H78" s="35" t="s">
        <v>133</v>
      </c>
      <c r="I78" s="30" t="s">
        <v>134</v>
      </c>
      <c r="J78" s="30">
        <v>5</v>
      </c>
      <c r="K78" s="30" t="s">
        <v>35</v>
      </c>
      <c r="L78" s="30" t="s">
        <v>135</v>
      </c>
      <c r="M78" s="30" t="s">
        <v>108</v>
      </c>
    </row>
    <row r="79" spans="4:20" ht="15" customHeight="1">
      <c r="D79" s="30" t="s">
        <v>640</v>
      </c>
      <c r="E79" s="30" t="s">
        <v>118</v>
      </c>
      <c r="G79" s="35" t="s">
        <v>129</v>
      </c>
      <c r="H79" s="35" t="s">
        <v>130</v>
      </c>
      <c r="I79" s="30" t="s">
        <v>121</v>
      </c>
      <c r="J79" s="30">
        <v>2</v>
      </c>
      <c r="K79" s="30" t="s">
        <v>35</v>
      </c>
      <c r="L79" s="30" t="s">
        <v>891</v>
      </c>
      <c r="M79" s="30" t="s">
        <v>108</v>
      </c>
    </row>
    <row r="80" spans="4:20" ht="15" customHeight="1">
      <c r="D80" s="30" t="s">
        <v>640</v>
      </c>
      <c r="E80" s="30" t="s">
        <v>122</v>
      </c>
      <c r="F80" s="35" t="s">
        <v>136</v>
      </c>
      <c r="I80" s="30" t="s">
        <v>124</v>
      </c>
      <c r="J80" s="30">
        <v>5</v>
      </c>
      <c r="K80" s="30" t="s">
        <v>35</v>
      </c>
      <c r="L80" s="30" t="s">
        <v>107</v>
      </c>
      <c r="M80" s="30" t="s">
        <v>108</v>
      </c>
    </row>
    <row r="81" spans="4:20" ht="15" customHeight="1">
      <c r="D81" s="30" t="s">
        <v>640</v>
      </c>
      <c r="E81" s="30" t="s">
        <v>104</v>
      </c>
      <c r="F81" s="30" t="s">
        <v>638</v>
      </c>
      <c r="I81" s="30" t="s">
        <v>106</v>
      </c>
      <c r="J81" s="30">
        <v>2</v>
      </c>
      <c r="K81" s="30" t="s">
        <v>35</v>
      </c>
      <c r="L81" s="30" t="s">
        <v>107</v>
      </c>
      <c r="M81" s="30" t="s">
        <v>108</v>
      </c>
    </row>
    <row r="82" spans="4:20" ht="15" customHeight="1">
      <c r="D82" s="30" t="s">
        <v>639</v>
      </c>
      <c r="E82" s="30" t="s">
        <v>109</v>
      </c>
      <c r="F82" s="35" t="s">
        <v>110</v>
      </c>
      <c r="I82" s="30" t="s">
        <v>111</v>
      </c>
      <c r="J82" s="30">
        <v>2</v>
      </c>
      <c r="K82" s="30" t="s">
        <v>35</v>
      </c>
      <c r="L82" s="30" t="s">
        <v>107</v>
      </c>
      <c r="M82" s="30" t="s">
        <v>108</v>
      </c>
    </row>
    <row r="83" spans="4:20" ht="15" customHeight="1">
      <c r="D83" s="30" t="s">
        <v>639</v>
      </c>
      <c r="E83" s="30" t="s">
        <v>131</v>
      </c>
      <c r="G83" s="35" t="s">
        <v>132</v>
      </c>
      <c r="H83" s="35" t="s">
        <v>176</v>
      </c>
      <c r="I83" s="30" t="s">
        <v>134</v>
      </c>
      <c r="J83" s="30">
        <v>5</v>
      </c>
      <c r="K83" s="30" t="s">
        <v>35</v>
      </c>
      <c r="L83" s="30" t="s">
        <v>135</v>
      </c>
      <c r="M83" s="30" t="s">
        <v>108</v>
      </c>
    </row>
    <row r="84" spans="4:20" ht="15" customHeight="1">
      <c r="D84" s="30" t="s">
        <v>639</v>
      </c>
      <c r="E84" s="30" t="s">
        <v>118</v>
      </c>
      <c r="G84" s="35" t="s">
        <v>129</v>
      </c>
      <c r="H84" s="35" t="s">
        <v>130</v>
      </c>
      <c r="I84" s="30" t="s">
        <v>121</v>
      </c>
      <c r="J84" s="30">
        <v>2</v>
      </c>
      <c r="K84" s="30" t="s">
        <v>35</v>
      </c>
      <c r="L84" s="30" t="s">
        <v>891</v>
      </c>
      <c r="M84" s="30" t="s">
        <v>108</v>
      </c>
    </row>
    <row r="85" spans="4:20" ht="15" customHeight="1">
      <c r="D85" s="30" t="s">
        <v>639</v>
      </c>
      <c r="E85" s="30" t="s">
        <v>122</v>
      </c>
      <c r="F85" s="35" t="s">
        <v>136</v>
      </c>
      <c r="I85" s="30" t="s">
        <v>124</v>
      </c>
      <c r="J85" s="30">
        <v>5</v>
      </c>
      <c r="K85" s="30" t="s">
        <v>35</v>
      </c>
      <c r="L85" s="30" t="s">
        <v>107</v>
      </c>
      <c r="M85" s="30" t="s">
        <v>108</v>
      </c>
    </row>
    <row r="86" spans="4:20" ht="15" customHeight="1">
      <c r="D86" s="30" t="s">
        <v>639</v>
      </c>
      <c r="E86" s="30" t="s">
        <v>104</v>
      </c>
      <c r="F86" s="30" t="s">
        <v>638</v>
      </c>
      <c r="I86" s="30" t="s">
        <v>106</v>
      </c>
      <c r="J86" s="30">
        <v>2</v>
      </c>
      <c r="K86" s="30" t="s">
        <v>35</v>
      </c>
      <c r="L86" s="30" t="s">
        <v>107</v>
      </c>
      <c r="M86" s="30" t="s">
        <v>108</v>
      </c>
    </row>
    <row r="87" spans="4:20" ht="15" customHeight="1">
      <c r="D87" s="30" t="s">
        <v>127</v>
      </c>
      <c r="E87" s="30" t="s">
        <v>109</v>
      </c>
      <c r="F87" s="35" t="s">
        <v>110</v>
      </c>
      <c r="I87" s="30" t="s">
        <v>111</v>
      </c>
      <c r="J87" s="30">
        <v>2</v>
      </c>
      <c r="K87" s="30" t="s">
        <v>35</v>
      </c>
      <c r="L87" s="30" t="s">
        <v>107</v>
      </c>
      <c r="M87" s="30" t="s">
        <v>108</v>
      </c>
    </row>
    <row r="88" spans="4:20" ht="15" customHeight="1">
      <c r="D88" s="30" t="s">
        <v>127</v>
      </c>
      <c r="E88" s="30" t="s">
        <v>131</v>
      </c>
      <c r="F88" s="30"/>
      <c r="G88" s="35" t="s">
        <v>132</v>
      </c>
      <c r="H88" s="35" t="s">
        <v>133</v>
      </c>
      <c r="I88" s="30" t="s">
        <v>134</v>
      </c>
      <c r="J88" s="30">
        <v>5</v>
      </c>
      <c r="K88" s="30" t="s">
        <v>35</v>
      </c>
      <c r="L88" s="30" t="s">
        <v>135</v>
      </c>
      <c r="M88" s="30" t="s">
        <v>108</v>
      </c>
    </row>
    <row r="89" spans="4:20" ht="15" customHeight="1">
      <c r="D89" s="30" t="s">
        <v>127</v>
      </c>
      <c r="E89" s="30" t="s">
        <v>118</v>
      </c>
      <c r="G89" s="35" t="s">
        <v>129</v>
      </c>
      <c r="H89" s="35" t="s">
        <v>130</v>
      </c>
      <c r="I89" s="30" t="s">
        <v>121</v>
      </c>
      <c r="J89" s="30">
        <v>2</v>
      </c>
      <c r="K89" s="30" t="s">
        <v>35</v>
      </c>
      <c r="L89" s="30" t="s">
        <v>891</v>
      </c>
      <c r="M89" s="30" t="s">
        <v>108</v>
      </c>
      <c r="T89" s="112" t="s">
        <v>838</v>
      </c>
    </row>
    <row r="90" spans="4:20" ht="15" customHeight="1">
      <c r="D90" s="30" t="s">
        <v>127</v>
      </c>
      <c r="E90" s="30" t="s">
        <v>122</v>
      </c>
      <c r="F90" s="35" t="s">
        <v>136</v>
      </c>
      <c r="I90" s="30" t="s">
        <v>124</v>
      </c>
      <c r="J90" s="30">
        <v>5</v>
      </c>
      <c r="K90" s="30" t="s">
        <v>35</v>
      </c>
      <c r="L90" s="30" t="s">
        <v>107</v>
      </c>
      <c r="M90" s="30" t="s">
        <v>108</v>
      </c>
    </row>
    <row r="91" spans="4:20" ht="15" customHeight="1">
      <c r="D91" s="30" t="s">
        <v>127</v>
      </c>
      <c r="E91" s="30" t="s">
        <v>104</v>
      </c>
      <c r="F91" s="35" t="s">
        <v>128</v>
      </c>
      <c r="I91" s="30" t="s">
        <v>106</v>
      </c>
      <c r="J91" s="30" t="s">
        <v>107</v>
      </c>
      <c r="K91" s="30" t="s">
        <v>35</v>
      </c>
      <c r="L91" s="30" t="s">
        <v>107</v>
      </c>
      <c r="M91" s="30" t="s">
        <v>108</v>
      </c>
    </row>
    <row r="92" spans="4:20" ht="15" customHeight="1">
      <c r="D92" s="30" t="s">
        <v>313</v>
      </c>
      <c r="E92" s="30" t="s">
        <v>109</v>
      </c>
      <c r="F92" s="35" t="s">
        <v>110</v>
      </c>
      <c r="I92" s="30" t="s">
        <v>111</v>
      </c>
      <c r="J92" s="30">
        <v>2</v>
      </c>
      <c r="K92" s="30" t="s">
        <v>35</v>
      </c>
      <c r="L92" s="30" t="s">
        <v>107</v>
      </c>
      <c r="M92" s="30" t="s">
        <v>108</v>
      </c>
    </row>
    <row r="93" spans="4:20" ht="15" customHeight="1">
      <c r="D93" s="30" t="s">
        <v>313</v>
      </c>
      <c r="E93" s="30" t="s">
        <v>118</v>
      </c>
      <c r="G93" s="35" t="s">
        <v>130</v>
      </c>
      <c r="H93" s="35" t="s">
        <v>289</v>
      </c>
      <c r="I93" s="30" t="s">
        <v>121</v>
      </c>
      <c r="J93" s="30">
        <v>2</v>
      </c>
      <c r="K93" s="30" t="s">
        <v>35</v>
      </c>
      <c r="L93" s="30" t="s">
        <v>891</v>
      </c>
      <c r="M93" s="30" t="s">
        <v>108</v>
      </c>
    </row>
    <row r="94" spans="4:20" ht="15" customHeight="1">
      <c r="D94" s="30" t="s">
        <v>313</v>
      </c>
      <c r="E94" s="30" t="s">
        <v>122</v>
      </c>
      <c r="F94" s="35" t="s">
        <v>136</v>
      </c>
      <c r="I94" s="30" t="s">
        <v>124</v>
      </c>
      <c r="J94" s="30">
        <v>5</v>
      </c>
      <c r="K94" s="30" t="s">
        <v>35</v>
      </c>
      <c r="L94" s="30" t="s">
        <v>107</v>
      </c>
      <c r="M94" s="30" t="s">
        <v>108</v>
      </c>
    </row>
    <row r="95" spans="4:20" ht="15" customHeight="1">
      <c r="D95" s="30" t="s">
        <v>313</v>
      </c>
      <c r="E95" s="30" t="s">
        <v>104</v>
      </c>
      <c r="F95" s="35" t="s">
        <v>206</v>
      </c>
      <c r="I95" s="30" t="s">
        <v>106</v>
      </c>
      <c r="J95" s="30" t="s">
        <v>107</v>
      </c>
      <c r="K95" s="30" t="s">
        <v>35</v>
      </c>
      <c r="L95" s="30" t="s">
        <v>107</v>
      </c>
      <c r="M95" s="30" t="s">
        <v>108</v>
      </c>
    </row>
    <row r="96" spans="4:20" ht="15" customHeight="1">
      <c r="D96" s="30" t="s">
        <v>314</v>
      </c>
      <c r="E96" s="30" t="s">
        <v>109</v>
      </c>
      <c r="F96" s="35" t="s">
        <v>110</v>
      </c>
      <c r="I96" s="30" t="s">
        <v>111</v>
      </c>
      <c r="J96" s="30">
        <v>2</v>
      </c>
      <c r="K96" s="30" t="s">
        <v>35</v>
      </c>
      <c r="L96" s="30" t="s">
        <v>107</v>
      </c>
      <c r="M96" s="30" t="s">
        <v>108</v>
      </c>
    </row>
    <row r="97" spans="4:13" ht="15" customHeight="1">
      <c r="D97" s="30" t="s">
        <v>314</v>
      </c>
      <c r="E97" s="30" t="s">
        <v>118</v>
      </c>
      <c r="G97" s="35" t="s">
        <v>129</v>
      </c>
      <c r="H97" s="35" t="s">
        <v>130</v>
      </c>
      <c r="I97" s="30" t="s">
        <v>121</v>
      </c>
      <c r="J97" s="30">
        <v>2</v>
      </c>
      <c r="K97" s="30" t="s">
        <v>35</v>
      </c>
      <c r="L97" s="30" t="s">
        <v>891</v>
      </c>
      <c r="M97" s="30" t="s">
        <v>108</v>
      </c>
    </row>
    <row r="98" spans="4:13" ht="15" customHeight="1">
      <c r="D98" s="30" t="s">
        <v>314</v>
      </c>
      <c r="E98" s="30" t="s">
        <v>122</v>
      </c>
      <c r="F98" s="35" t="s">
        <v>172</v>
      </c>
      <c r="I98" s="30" t="s">
        <v>124</v>
      </c>
      <c r="J98" s="30">
        <v>5</v>
      </c>
      <c r="K98" s="30" t="s">
        <v>35</v>
      </c>
      <c r="L98" s="30" t="s">
        <v>107</v>
      </c>
      <c r="M98" s="30" t="s">
        <v>108</v>
      </c>
    </row>
    <row r="99" spans="4:13" ht="15" customHeight="1">
      <c r="D99" s="30" t="s">
        <v>314</v>
      </c>
      <c r="E99" s="30" t="s">
        <v>104</v>
      </c>
      <c r="F99" s="35" t="s">
        <v>315</v>
      </c>
      <c r="I99" s="30" t="s">
        <v>106</v>
      </c>
      <c r="J99" s="30" t="s">
        <v>107</v>
      </c>
      <c r="K99" s="30" t="s">
        <v>35</v>
      </c>
      <c r="L99" s="30" t="s">
        <v>107</v>
      </c>
      <c r="M99" s="30" t="s">
        <v>108</v>
      </c>
    </row>
    <row r="100" spans="4:13" ht="15" customHeight="1">
      <c r="D100" s="30" t="s">
        <v>316</v>
      </c>
      <c r="E100" s="30" t="s">
        <v>109</v>
      </c>
      <c r="F100" s="35" t="s">
        <v>110</v>
      </c>
      <c r="I100" s="30" t="s">
        <v>111</v>
      </c>
      <c r="J100" s="30">
        <v>2</v>
      </c>
      <c r="K100" s="30" t="s">
        <v>35</v>
      </c>
      <c r="L100" s="30" t="s">
        <v>107</v>
      </c>
      <c r="M100" s="30" t="s">
        <v>108</v>
      </c>
    </row>
    <row r="101" spans="4:13" ht="15" customHeight="1">
      <c r="D101" s="30" t="s">
        <v>316</v>
      </c>
      <c r="E101" s="30" t="s">
        <v>131</v>
      </c>
      <c r="G101" s="35" t="s">
        <v>162</v>
      </c>
      <c r="H101" s="35" t="s">
        <v>225</v>
      </c>
      <c r="I101" s="30" t="s">
        <v>134</v>
      </c>
      <c r="J101" s="30">
        <v>5</v>
      </c>
      <c r="K101" s="30" t="s">
        <v>35</v>
      </c>
      <c r="L101" s="30" t="s">
        <v>135</v>
      </c>
      <c r="M101" s="30" t="s">
        <v>108</v>
      </c>
    </row>
    <row r="102" spans="4:13" ht="15" customHeight="1">
      <c r="D102" s="30" t="s">
        <v>316</v>
      </c>
      <c r="E102" s="30" t="s">
        <v>118</v>
      </c>
      <c r="G102" s="35" t="s">
        <v>142</v>
      </c>
      <c r="H102" s="35" t="s">
        <v>129</v>
      </c>
      <c r="I102" s="30" t="s">
        <v>121</v>
      </c>
      <c r="J102" s="30">
        <v>2</v>
      </c>
      <c r="K102" s="30" t="s">
        <v>35</v>
      </c>
      <c r="L102" s="30" t="s">
        <v>891</v>
      </c>
      <c r="M102" s="30" t="s">
        <v>108</v>
      </c>
    </row>
    <row r="103" spans="4:13" ht="15" customHeight="1">
      <c r="D103" s="30" t="s">
        <v>316</v>
      </c>
      <c r="E103" s="30" t="s">
        <v>122</v>
      </c>
      <c r="F103" s="35" t="s">
        <v>318</v>
      </c>
      <c r="I103" s="30" t="s">
        <v>124</v>
      </c>
      <c r="J103" s="30">
        <v>5</v>
      </c>
      <c r="K103" s="30" t="s">
        <v>35</v>
      </c>
      <c r="L103" s="30" t="s">
        <v>107</v>
      </c>
      <c r="M103" s="30" t="s">
        <v>108</v>
      </c>
    </row>
    <row r="104" spans="4:13" ht="15" customHeight="1">
      <c r="D104" s="30" t="s">
        <v>316</v>
      </c>
      <c r="E104" s="30" t="s">
        <v>104</v>
      </c>
      <c r="F104" s="35" t="s">
        <v>317</v>
      </c>
      <c r="I104" s="30" t="s">
        <v>106</v>
      </c>
      <c r="J104" s="30" t="s">
        <v>107</v>
      </c>
      <c r="K104" s="30" t="s">
        <v>35</v>
      </c>
      <c r="L104" s="30" t="s">
        <v>107</v>
      </c>
      <c r="M104" s="30" t="s">
        <v>108</v>
      </c>
    </row>
    <row r="105" spans="4:13" ht="15" customHeight="1">
      <c r="D105" s="30" t="s">
        <v>561</v>
      </c>
      <c r="E105" s="30" t="s">
        <v>109</v>
      </c>
      <c r="F105" s="35" t="s">
        <v>110</v>
      </c>
      <c r="I105" s="30" t="s">
        <v>111</v>
      </c>
      <c r="J105" s="30">
        <v>2</v>
      </c>
      <c r="K105" s="30" t="s">
        <v>35</v>
      </c>
      <c r="L105" s="30" t="s">
        <v>107</v>
      </c>
      <c r="M105" s="30" t="s">
        <v>108</v>
      </c>
    </row>
    <row r="106" spans="4:13" ht="15" customHeight="1">
      <c r="D106" s="30" t="s">
        <v>561</v>
      </c>
      <c r="E106" s="30" t="s">
        <v>118</v>
      </c>
      <c r="G106" s="35" t="s">
        <v>129</v>
      </c>
      <c r="H106" s="35" t="s">
        <v>130</v>
      </c>
      <c r="I106" s="30" t="s">
        <v>121</v>
      </c>
      <c r="J106" s="30">
        <v>2</v>
      </c>
      <c r="K106" s="30" t="s">
        <v>35</v>
      </c>
      <c r="L106" s="30" t="s">
        <v>891</v>
      </c>
      <c r="M106" s="30" t="s">
        <v>108</v>
      </c>
    </row>
    <row r="107" spans="4:13" ht="15" customHeight="1">
      <c r="D107" s="30" t="s">
        <v>561</v>
      </c>
      <c r="E107" s="30" t="s">
        <v>243</v>
      </c>
      <c r="G107" s="35" t="s">
        <v>129</v>
      </c>
      <c r="H107" s="35" t="s">
        <v>229</v>
      </c>
      <c r="I107" s="30" t="s">
        <v>121</v>
      </c>
      <c r="J107" s="30">
        <v>2</v>
      </c>
      <c r="K107" s="30" t="s">
        <v>35</v>
      </c>
      <c r="L107" s="30" t="s">
        <v>891</v>
      </c>
      <c r="M107" s="30" t="s">
        <v>108</v>
      </c>
    </row>
    <row r="108" spans="4:13" ht="15" customHeight="1">
      <c r="D108" s="30" t="s">
        <v>561</v>
      </c>
      <c r="E108" s="30" t="s">
        <v>122</v>
      </c>
      <c r="F108" s="35" t="s">
        <v>563</v>
      </c>
      <c r="I108" s="30" t="s">
        <v>124</v>
      </c>
      <c r="J108" s="30">
        <v>5</v>
      </c>
      <c r="K108" s="30" t="s">
        <v>35</v>
      </c>
      <c r="L108" s="30" t="s">
        <v>107</v>
      </c>
      <c r="M108" s="30" t="s">
        <v>108</v>
      </c>
    </row>
    <row r="109" spans="4:13" ht="15" customHeight="1">
      <c r="D109" s="30" t="s">
        <v>561</v>
      </c>
      <c r="E109" s="30" t="s">
        <v>104</v>
      </c>
      <c r="F109" s="35" t="s">
        <v>562</v>
      </c>
      <c r="I109" s="30" t="s">
        <v>106</v>
      </c>
      <c r="J109" s="30" t="s">
        <v>107</v>
      </c>
      <c r="K109" s="30" t="s">
        <v>35</v>
      </c>
      <c r="L109" s="30" t="s">
        <v>107</v>
      </c>
      <c r="M109" s="30" t="s">
        <v>108</v>
      </c>
    </row>
    <row r="110" spans="4:13" ht="15" customHeight="1">
      <c r="D110" s="30" t="s">
        <v>319</v>
      </c>
      <c r="E110" s="30" t="s">
        <v>109</v>
      </c>
      <c r="F110" s="35" t="s">
        <v>110</v>
      </c>
      <c r="I110" s="30" t="s">
        <v>111</v>
      </c>
      <c r="J110" s="30">
        <v>2</v>
      </c>
      <c r="K110" s="30" t="s">
        <v>35</v>
      </c>
      <c r="L110" s="30" t="s">
        <v>107</v>
      </c>
      <c r="M110" s="30" t="s">
        <v>108</v>
      </c>
    </row>
    <row r="111" spans="4:13" ht="15" customHeight="1">
      <c r="D111" s="30" t="s">
        <v>319</v>
      </c>
      <c r="E111" s="30" t="s">
        <v>131</v>
      </c>
      <c r="G111" s="35" t="s">
        <v>150</v>
      </c>
      <c r="H111" s="35" t="s">
        <v>133</v>
      </c>
      <c r="I111" s="30" t="s">
        <v>134</v>
      </c>
      <c r="J111" s="30">
        <v>5</v>
      </c>
      <c r="K111" s="30" t="s">
        <v>35</v>
      </c>
      <c r="L111" s="30" t="s">
        <v>135</v>
      </c>
      <c r="M111" s="30" t="s">
        <v>108</v>
      </c>
    </row>
    <row r="112" spans="4:13" ht="15" customHeight="1">
      <c r="D112" s="30" t="s">
        <v>319</v>
      </c>
      <c r="E112" s="30" t="s">
        <v>118</v>
      </c>
      <c r="G112" s="35" t="s">
        <v>129</v>
      </c>
      <c r="H112" s="35" t="s">
        <v>130</v>
      </c>
      <c r="I112" s="30" t="s">
        <v>121</v>
      </c>
      <c r="J112" s="30">
        <v>2</v>
      </c>
      <c r="K112" s="30" t="s">
        <v>35</v>
      </c>
      <c r="L112" s="30" t="s">
        <v>891</v>
      </c>
      <c r="M112" s="30" t="s">
        <v>108</v>
      </c>
    </row>
    <row r="113" spans="4:29" ht="15" customHeight="1">
      <c r="D113" s="30" t="s">
        <v>319</v>
      </c>
      <c r="E113" s="30" t="s">
        <v>122</v>
      </c>
      <c r="F113" s="35" t="s">
        <v>177</v>
      </c>
      <c r="I113" s="30" t="s">
        <v>124</v>
      </c>
      <c r="J113" s="30">
        <v>5</v>
      </c>
      <c r="K113" s="30" t="s">
        <v>35</v>
      </c>
      <c r="L113" s="30" t="s">
        <v>107</v>
      </c>
      <c r="M113" s="30" t="s">
        <v>108</v>
      </c>
    </row>
    <row r="114" spans="4:29" ht="15" customHeight="1">
      <c r="D114" s="30" t="s">
        <v>319</v>
      </c>
      <c r="E114" s="30" t="s">
        <v>104</v>
      </c>
      <c r="F114" s="35" t="s">
        <v>320</v>
      </c>
      <c r="I114" s="30" t="s">
        <v>106</v>
      </c>
      <c r="J114" s="30" t="s">
        <v>107</v>
      </c>
      <c r="K114" s="30" t="s">
        <v>35</v>
      </c>
      <c r="L114" s="30" t="s">
        <v>107</v>
      </c>
      <c r="M114" s="30" t="s">
        <v>108</v>
      </c>
    </row>
    <row r="115" spans="4:29" ht="15" customHeight="1">
      <c r="D115" s="30" t="s">
        <v>321</v>
      </c>
      <c r="E115" s="30" t="s">
        <v>109</v>
      </c>
      <c r="F115" s="35" t="s">
        <v>110</v>
      </c>
      <c r="I115" s="30" t="s">
        <v>111</v>
      </c>
      <c r="J115" s="30">
        <v>2</v>
      </c>
      <c r="K115" s="30" t="s">
        <v>35</v>
      </c>
      <c r="L115" s="30" t="s">
        <v>107</v>
      </c>
      <c r="M115" s="30" t="s">
        <v>108</v>
      </c>
    </row>
    <row r="116" spans="4:29" ht="15" customHeight="1">
      <c r="D116" s="30" t="s">
        <v>321</v>
      </c>
      <c r="E116" s="30" t="s">
        <v>131</v>
      </c>
      <c r="G116" s="35" t="s">
        <v>162</v>
      </c>
      <c r="H116" s="35" t="s">
        <v>163</v>
      </c>
      <c r="I116" s="30" t="s">
        <v>134</v>
      </c>
      <c r="J116" s="30">
        <v>5</v>
      </c>
      <c r="K116" s="30" t="s">
        <v>35</v>
      </c>
      <c r="L116" s="30" t="s">
        <v>135</v>
      </c>
      <c r="M116" s="30" t="s">
        <v>108</v>
      </c>
    </row>
    <row r="117" spans="4:29" ht="15" customHeight="1">
      <c r="D117" s="30" t="s">
        <v>321</v>
      </c>
      <c r="E117" s="30" t="s">
        <v>118</v>
      </c>
      <c r="G117" s="35" t="s">
        <v>195</v>
      </c>
      <c r="H117" s="35" t="s">
        <v>161</v>
      </c>
      <c r="I117" s="30" t="s">
        <v>121</v>
      </c>
      <c r="J117" s="30">
        <v>2</v>
      </c>
      <c r="K117" s="30" t="s">
        <v>35</v>
      </c>
      <c r="L117" s="30" t="s">
        <v>891</v>
      </c>
      <c r="M117" s="30" t="s">
        <v>108</v>
      </c>
    </row>
    <row r="118" spans="4:29" ht="15" customHeight="1">
      <c r="D118" s="30" t="s">
        <v>321</v>
      </c>
      <c r="E118" s="30" t="s">
        <v>104</v>
      </c>
      <c r="F118" s="35" t="s">
        <v>159</v>
      </c>
      <c r="I118" s="30" t="s">
        <v>106</v>
      </c>
      <c r="J118" s="30" t="s">
        <v>107</v>
      </c>
      <c r="K118" s="30" t="s">
        <v>35</v>
      </c>
      <c r="L118" s="30" t="s">
        <v>107</v>
      </c>
      <c r="M118" s="30" t="s">
        <v>108</v>
      </c>
    </row>
    <row r="119" spans="4:29" ht="15" customHeight="1">
      <c r="D119" s="30" t="s">
        <v>593</v>
      </c>
      <c r="E119" s="30" t="s">
        <v>109</v>
      </c>
      <c r="F119" s="35" t="s">
        <v>110</v>
      </c>
      <c r="I119" s="30" t="s">
        <v>111</v>
      </c>
      <c r="J119" s="30">
        <v>2</v>
      </c>
      <c r="K119" s="30" t="s">
        <v>35</v>
      </c>
      <c r="L119" s="30" t="s">
        <v>107</v>
      </c>
      <c r="M119" s="30" t="s">
        <v>108</v>
      </c>
    </row>
    <row r="120" spans="4:29" ht="15" customHeight="1">
      <c r="D120" s="30" t="s">
        <v>593</v>
      </c>
      <c r="E120" s="30" t="s">
        <v>118</v>
      </c>
      <c r="G120" s="35" t="s">
        <v>119</v>
      </c>
      <c r="H120" s="35" t="s">
        <v>120</v>
      </c>
      <c r="I120" s="30" t="s">
        <v>121</v>
      </c>
      <c r="J120" s="30">
        <v>2</v>
      </c>
      <c r="K120" s="30" t="s">
        <v>35</v>
      </c>
      <c r="L120" s="30" t="s">
        <v>891</v>
      </c>
      <c r="M120" s="30" t="s">
        <v>108</v>
      </c>
    </row>
    <row r="121" spans="4:29" ht="15" customHeight="1">
      <c r="D121" s="30" t="s">
        <v>593</v>
      </c>
      <c r="E121" s="30" t="s">
        <v>104</v>
      </c>
      <c r="F121" s="30" t="s">
        <v>138</v>
      </c>
      <c r="I121" s="30" t="s">
        <v>106</v>
      </c>
      <c r="J121" s="30" t="s">
        <v>107</v>
      </c>
      <c r="K121" s="30" t="s">
        <v>35</v>
      </c>
      <c r="L121" s="30" t="s">
        <v>107</v>
      </c>
      <c r="M121" s="30" t="s">
        <v>108</v>
      </c>
    </row>
    <row r="122" spans="4:29" ht="15" customHeight="1">
      <c r="D122" s="30" t="s">
        <v>594</v>
      </c>
      <c r="E122" s="30" t="s">
        <v>109</v>
      </c>
      <c r="F122" s="35" t="s">
        <v>110</v>
      </c>
      <c r="I122" s="30" t="s">
        <v>111</v>
      </c>
      <c r="J122" s="30">
        <v>2</v>
      </c>
      <c r="K122" s="30" t="s">
        <v>35</v>
      </c>
      <c r="L122" s="30" t="s">
        <v>107</v>
      </c>
      <c r="M122" s="30" t="s">
        <v>108</v>
      </c>
    </row>
    <row r="123" spans="4:29" ht="15" customHeight="1">
      <c r="D123" s="30" t="s">
        <v>594</v>
      </c>
      <c r="E123" s="30" t="s">
        <v>118</v>
      </c>
      <c r="G123" s="35" t="s">
        <v>119</v>
      </c>
      <c r="H123" s="35" t="s">
        <v>120</v>
      </c>
      <c r="I123" s="30" t="s">
        <v>121</v>
      </c>
      <c r="J123" s="30">
        <v>2</v>
      </c>
      <c r="K123" s="30" t="s">
        <v>35</v>
      </c>
      <c r="L123" s="30" t="s">
        <v>891</v>
      </c>
      <c r="M123" s="30" t="s">
        <v>108</v>
      </c>
    </row>
    <row r="124" spans="4:29" ht="15" customHeight="1">
      <c r="D124" s="30" t="s">
        <v>594</v>
      </c>
      <c r="E124" s="30" t="s">
        <v>122</v>
      </c>
      <c r="F124" s="35" t="s">
        <v>126</v>
      </c>
      <c r="I124" s="30" t="s">
        <v>124</v>
      </c>
      <c r="J124" s="30">
        <v>5</v>
      </c>
      <c r="K124" s="30" t="s">
        <v>35</v>
      </c>
      <c r="L124" s="30" t="s">
        <v>107</v>
      </c>
      <c r="M124" s="30" t="s">
        <v>108</v>
      </c>
    </row>
    <row r="125" spans="4:29" ht="15.75" customHeight="1">
      <c r="D125" s="30" t="s">
        <v>594</v>
      </c>
      <c r="E125" s="30" t="s">
        <v>104</v>
      </c>
      <c r="F125" s="30" t="s">
        <v>138</v>
      </c>
      <c r="I125" s="30" t="s">
        <v>106</v>
      </c>
      <c r="J125" s="30" t="s">
        <v>107</v>
      </c>
      <c r="K125" s="30" t="s">
        <v>35</v>
      </c>
      <c r="L125" s="30" t="s">
        <v>107</v>
      </c>
      <c r="M125" s="30" t="s">
        <v>108</v>
      </c>
    </row>
    <row r="126" spans="4:29" ht="14.25" customHeight="1">
      <c r="D126" s="30" t="s">
        <v>137</v>
      </c>
      <c r="E126" s="30" t="s">
        <v>109</v>
      </c>
      <c r="F126" s="35" t="s">
        <v>110</v>
      </c>
      <c r="I126" s="30" t="s">
        <v>111</v>
      </c>
      <c r="J126" s="30">
        <v>2</v>
      </c>
      <c r="K126" s="30" t="s">
        <v>35</v>
      </c>
      <c r="L126" s="30" t="s">
        <v>107</v>
      </c>
      <c r="M126" s="30" t="s">
        <v>108</v>
      </c>
    </row>
    <row r="127" spans="4:29" ht="14.25" customHeight="1">
      <c r="D127" s="30" t="s">
        <v>137</v>
      </c>
      <c r="E127" s="30" t="s">
        <v>118</v>
      </c>
      <c r="G127" s="35" t="s">
        <v>119</v>
      </c>
      <c r="H127" s="35" t="s">
        <v>139</v>
      </c>
      <c r="I127" s="30" t="s">
        <v>121</v>
      </c>
      <c r="J127" s="30">
        <v>2</v>
      </c>
      <c r="K127" s="30" t="s">
        <v>35</v>
      </c>
      <c r="L127" s="30" t="s">
        <v>891</v>
      </c>
      <c r="M127" s="30" t="s">
        <v>108</v>
      </c>
    </row>
    <row r="128" spans="4:29" ht="15" customHeight="1">
      <c r="D128" s="30" t="s">
        <v>137</v>
      </c>
      <c r="E128" s="30" t="s">
        <v>104</v>
      </c>
      <c r="F128" s="35" t="s">
        <v>138</v>
      </c>
      <c r="I128" s="30" t="s">
        <v>106</v>
      </c>
      <c r="J128" s="30" t="s">
        <v>107</v>
      </c>
      <c r="K128" s="30" t="s">
        <v>35</v>
      </c>
      <c r="L128" s="30" t="s">
        <v>107</v>
      </c>
      <c r="M128" s="30" t="s">
        <v>108</v>
      </c>
      <c r="T128" s="427" t="s">
        <v>840</v>
      </c>
      <c r="U128" s="428"/>
      <c r="V128" s="428"/>
      <c r="W128" s="428"/>
      <c r="X128" s="428"/>
      <c r="Y128" s="428"/>
      <c r="Z128" s="428"/>
      <c r="AA128" s="428"/>
      <c r="AB128" s="428"/>
      <c r="AC128" s="429"/>
    </row>
    <row r="129" spans="4:29" ht="14.25" customHeight="1">
      <c r="D129" s="30" t="s">
        <v>609</v>
      </c>
      <c r="E129" s="30" t="s">
        <v>109</v>
      </c>
      <c r="F129" s="35" t="s">
        <v>110</v>
      </c>
      <c r="I129" s="30" t="s">
        <v>111</v>
      </c>
      <c r="J129" s="30">
        <v>2</v>
      </c>
      <c r="K129" s="30" t="s">
        <v>35</v>
      </c>
      <c r="L129" s="30" t="s">
        <v>107</v>
      </c>
      <c r="M129" s="30" t="s">
        <v>108</v>
      </c>
      <c r="T129" s="427"/>
      <c r="U129" s="428"/>
      <c r="V129" s="428"/>
      <c r="W129" s="428"/>
      <c r="X129" s="428"/>
      <c r="Y129" s="428"/>
      <c r="Z129" s="428"/>
      <c r="AA129" s="428"/>
      <c r="AB129" s="428"/>
      <c r="AC129" s="429"/>
    </row>
    <row r="130" spans="4:29" ht="15" customHeight="1">
      <c r="D130" s="30" t="s">
        <v>609</v>
      </c>
      <c r="E130" s="30" t="s">
        <v>118</v>
      </c>
      <c r="G130" s="35" t="s">
        <v>142</v>
      </c>
      <c r="H130" s="35" t="s">
        <v>139</v>
      </c>
      <c r="I130" s="30" t="s">
        <v>121</v>
      </c>
      <c r="J130" s="30">
        <v>2</v>
      </c>
      <c r="K130" s="30" t="s">
        <v>35</v>
      </c>
      <c r="L130" s="30" t="s">
        <v>891</v>
      </c>
      <c r="M130" s="30" t="s">
        <v>108</v>
      </c>
    </row>
    <row r="131" spans="4:29" ht="15" customHeight="1">
      <c r="D131" s="30" t="s">
        <v>609</v>
      </c>
      <c r="E131" s="30" t="s">
        <v>122</v>
      </c>
      <c r="F131" s="35" t="s">
        <v>610</v>
      </c>
      <c r="I131" s="30" t="s">
        <v>124</v>
      </c>
      <c r="J131" s="30">
        <v>5</v>
      </c>
      <c r="K131" s="30" t="s">
        <v>35</v>
      </c>
      <c r="L131" s="30" t="s">
        <v>107</v>
      </c>
      <c r="M131" s="30" t="s">
        <v>108</v>
      </c>
    </row>
    <row r="132" spans="4:29" ht="15" customHeight="1">
      <c r="D132" s="30" t="s">
        <v>609</v>
      </c>
      <c r="E132" s="30" t="s">
        <v>104</v>
      </c>
      <c r="F132" s="30" t="s">
        <v>138</v>
      </c>
      <c r="I132" s="30" t="s">
        <v>106</v>
      </c>
      <c r="J132" s="30" t="s">
        <v>107</v>
      </c>
      <c r="K132" s="30" t="s">
        <v>35</v>
      </c>
      <c r="L132" s="30" t="s">
        <v>107</v>
      </c>
      <c r="M132" s="30" t="s">
        <v>108</v>
      </c>
    </row>
    <row r="133" spans="4:29" ht="15" customHeight="1">
      <c r="D133" s="30" t="s">
        <v>583</v>
      </c>
      <c r="E133" s="30" t="s">
        <v>109</v>
      </c>
      <c r="F133" s="35" t="s">
        <v>110</v>
      </c>
      <c r="I133" s="30" t="s">
        <v>111</v>
      </c>
      <c r="J133" s="30">
        <v>2</v>
      </c>
      <c r="K133" s="30" t="s">
        <v>35</v>
      </c>
      <c r="L133" s="30" t="s">
        <v>107</v>
      </c>
      <c r="M133" s="30" t="s">
        <v>108</v>
      </c>
    </row>
    <row r="134" spans="4:29" ht="15" customHeight="1">
      <c r="D134" s="30" t="s">
        <v>583</v>
      </c>
      <c r="E134" s="30" t="s">
        <v>118</v>
      </c>
      <c r="G134" s="35" t="s">
        <v>142</v>
      </c>
      <c r="H134" s="35" t="s">
        <v>139</v>
      </c>
      <c r="I134" s="30" t="s">
        <v>121</v>
      </c>
      <c r="J134" s="30">
        <v>2</v>
      </c>
      <c r="K134" s="30" t="s">
        <v>35</v>
      </c>
      <c r="L134" s="30" t="s">
        <v>891</v>
      </c>
      <c r="M134" s="30" t="s">
        <v>108</v>
      </c>
    </row>
    <row r="135" spans="4:29" ht="15" customHeight="1">
      <c r="D135" s="30" t="s">
        <v>583</v>
      </c>
      <c r="E135" s="30" t="s">
        <v>122</v>
      </c>
      <c r="F135" s="35" t="s">
        <v>166</v>
      </c>
      <c r="I135" s="30" t="s">
        <v>124</v>
      </c>
      <c r="J135" s="30">
        <v>5</v>
      </c>
      <c r="K135" s="30" t="s">
        <v>35</v>
      </c>
      <c r="L135" s="30" t="s">
        <v>107</v>
      </c>
      <c r="M135" s="30" t="s">
        <v>108</v>
      </c>
    </row>
    <row r="136" spans="4:29" ht="15" customHeight="1">
      <c r="D136" s="30" t="s">
        <v>583</v>
      </c>
      <c r="E136" s="30" t="s">
        <v>104</v>
      </c>
      <c r="F136" s="30" t="s">
        <v>144</v>
      </c>
      <c r="I136" s="30" t="s">
        <v>106</v>
      </c>
      <c r="J136" s="30" t="s">
        <v>107</v>
      </c>
      <c r="K136" s="30" t="s">
        <v>35</v>
      </c>
      <c r="L136" s="30" t="s">
        <v>107</v>
      </c>
      <c r="M136" s="30" t="s">
        <v>108</v>
      </c>
    </row>
    <row r="137" spans="4:29" ht="15" customHeight="1">
      <c r="D137" s="30" t="s">
        <v>140</v>
      </c>
      <c r="E137" s="30" t="s">
        <v>109</v>
      </c>
      <c r="F137" s="35" t="s">
        <v>110</v>
      </c>
      <c r="I137" s="30" t="s">
        <v>111</v>
      </c>
      <c r="J137" s="30">
        <v>2</v>
      </c>
      <c r="K137" s="30" t="s">
        <v>35</v>
      </c>
      <c r="L137" s="30" t="s">
        <v>107</v>
      </c>
      <c r="M137" s="30" t="s">
        <v>108</v>
      </c>
    </row>
    <row r="138" spans="4:29" ht="15" customHeight="1">
      <c r="D138" s="30" t="s">
        <v>140</v>
      </c>
      <c r="E138" s="30" t="s">
        <v>118</v>
      </c>
      <c r="G138" s="35" t="s">
        <v>142</v>
      </c>
      <c r="H138" s="35" t="s">
        <v>129</v>
      </c>
      <c r="I138" s="30" t="s">
        <v>121</v>
      </c>
      <c r="J138" s="30">
        <v>2</v>
      </c>
      <c r="K138" s="30" t="s">
        <v>35</v>
      </c>
      <c r="L138" s="30" t="s">
        <v>891</v>
      </c>
      <c r="M138" s="30" t="s">
        <v>108</v>
      </c>
    </row>
    <row r="139" spans="4:29" ht="15" customHeight="1">
      <c r="D139" s="30" t="s">
        <v>140</v>
      </c>
      <c r="E139" s="30" t="s">
        <v>104</v>
      </c>
      <c r="F139" s="30" t="s">
        <v>141</v>
      </c>
      <c r="I139" s="30" t="s">
        <v>106</v>
      </c>
      <c r="J139" s="30" t="s">
        <v>107</v>
      </c>
      <c r="K139" s="30" t="s">
        <v>35</v>
      </c>
      <c r="L139" s="30" t="s">
        <v>107</v>
      </c>
      <c r="M139" s="30" t="s">
        <v>108</v>
      </c>
    </row>
    <row r="140" spans="4:29" ht="15" customHeight="1">
      <c r="D140" s="30" t="s">
        <v>644</v>
      </c>
      <c r="E140" s="30" t="s">
        <v>109</v>
      </c>
      <c r="F140" s="35" t="s">
        <v>110</v>
      </c>
      <c r="I140" s="30" t="s">
        <v>111</v>
      </c>
      <c r="J140" s="30">
        <v>2</v>
      </c>
      <c r="K140" s="30" t="s">
        <v>35</v>
      </c>
      <c r="L140" s="30" t="s">
        <v>107</v>
      </c>
      <c r="M140" s="30" t="s">
        <v>108</v>
      </c>
    </row>
    <row r="141" spans="4:29" ht="15" customHeight="1">
      <c r="D141" s="30" t="s">
        <v>644</v>
      </c>
      <c r="E141" s="30" t="s">
        <v>131</v>
      </c>
      <c r="G141" s="35" t="s">
        <v>187</v>
      </c>
      <c r="H141" s="35" t="s">
        <v>176</v>
      </c>
      <c r="I141" s="30" t="s">
        <v>134</v>
      </c>
      <c r="J141" s="30">
        <v>5</v>
      </c>
      <c r="K141" s="30" t="s">
        <v>35</v>
      </c>
      <c r="L141" s="30" t="s">
        <v>135</v>
      </c>
      <c r="M141" s="30" t="s">
        <v>108</v>
      </c>
    </row>
    <row r="142" spans="4:29" ht="16.5" customHeight="1">
      <c r="D142" s="30" t="s">
        <v>644</v>
      </c>
      <c r="E142" s="30" t="s">
        <v>118</v>
      </c>
      <c r="G142" s="35" t="s">
        <v>139</v>
      </c>
      <c r="H142" s="35" t="s">
        <v>264</v>
      </c>
      <c r="I142" s="30" t="s">
        <v>121</v>
      </c>
      <c r="J142" s="30">
        <v>2</v>
      </c>
      <c r="K142" s="30" t="s">
        <v>35</v>
      </c>
      <c r="L142" s="30" t="s">
        <v>891</v>
      </c>
      <c r="M142" s="30" t="s">
        <v>108</v>
      </c>
    </row>
    <row r="143" spans="4:29" ht="15" customHeight="1">
      <c r="D143" s="30" t="s">
        <v>644</v>
      </c>
      <c r="E143" s="30" t="s">
        <v>646</v>
      </c>
      <c r="G143" s="35" t="s">
        <v>145</v>
      </c>
      <c r="I143" s="30" t="s">
        <v>333</v>
      </c>
      <c r="J143" s="30">
        <v>2</v>
      </c>
      <c r="K143" s="30" t="s">
        <v>35</v>
      </c>
      <c r="L143" s="30" t="s">
        <v>891</v>
      </c>
      <c r="M143" s="30" t="s">
        <v>108</v>
      </c>
    </row>
    <row r="144" spans="4:29" ht="15" customHeight="1">
      <c r="D144" s="30" t="s">
        <v>644</v>
      </c>
      <c r="E144" s="30" t="s">
        <v>122</v>
      </c>
      <c r="F144" s="35" t="s">
        <v>647</v>
      </c>
      <c r="I144" s="30" t="s">
        <v>124</v>
      </c>
      <c r="J144" s="30">
        <v>5</v>
      </c>
      <c r="K144" s="30" t="s">
        <v>35</v>
      </c>
      <c r="L144" s="30" t="s">
        <v>107</v>
      </c>
      <c r="M144" s="30" t="s">
        <v>108</v>
      </c>
    </row>
    <row r="145" spans="4:13" ht="15" customHeight="1">
      <c r="D145" s="30" t="s">
        <v>644</v>
      </c>
      <c r="E145" s="30" t="s">
        <v>104</v>
      </c>
      <c r="F145" s="30" t="s">
        <v>645</v>
      </c>
      <c r="I145" s="30" t="s">
        <v>106</v>
      </c>
      <c r="J145" s="30">
        <v>2</v>
      </c>
      <c r="K145" s="30" t="s">
        <v>35</v>
      </c>
      <c r="L145" s="30" t="s">
        <v>107</v>
      </c>
      <c r="M145" s="30" t="s">
        <v>108</v>
      </c>
    </row>
    <row r="146" spans="4:13" ht="15" customHeight="1">
      <c r="D146" s="30" t="s">
        <v>515</v>
      </c>
      <c r="E146" s="30" t="s">
        <v>109</v>
      </c>
      <c r="F146" s="35" t="s">
        <v>110</v>
      </c>
      <c r="I146" s="30" t="s">
        <v>111</v>
      </c>
      <c r="J146" s="30">
        <v>2</v>
      </c>
      <c r="K146" s="30" t="s">
        <v>35</v>
      </c>
      <c r="L146" s="30" t="s">
        <v>107</v>
      </c>
      <c r="M146" s="30" t="s">
        <v>108</v>
      </c>
    </row>
    <row r="147" spans="4:13" ht="15" customHeight="1">
      <c r="D147" s="30" t="s">
        <v>515</v>
      </c>
      <c r="E147" s="30" t="s">
        <v>118</v>
      </c>
      <c r="G147" s="35" t="s">
        <v>142</v>
      </c>
      <c r="H147" s="35" t="s">
        <v>129</v>
      </c>
      <c r="I147" s="30" t="s">
        <v>121</v>
      </c>
      <c r="J147" s="30">
        <v>2</v>
      </c>
      <c r="K147" s="30" t="s">
        <v>35</v>
      </c>
      <c r="L147" s="30" t="s">
        <v>891</v>
      </c>
      <c r="M147" s="30" t="s">
        <v>108</v>
      </c>
    </row>
    <row r="148" spans="4:13" ht="15" customHeight="1">
      <c r="D148" s="30" t="s">
        <v>515</v>
      </c>
      <c r="E148" s="30" t="s">
        <v>122</v>
      </c>
      <c r="F148" s="35" t="s">
        <v>517</v>
      </c>
      <c r="I148" s="30" t="s">
        <v>124</v>
      </c>
      <c r="J148" s="30">
        <v>5</v>
      </c>
      <c r="K148" s="30" t="s">
        <v>35</v>
      </c>
      <c r="L148" s="30" t="s">
        <v>107</v>
      </c>
      <c r="M148" s="30" t="s">
        <v>108</v>
      </c>
    </row>
    <row r="149" spans="4:13" ht="15" customHeight="1">
      <c r="D149" s="30" t="s">
        <v>515</v>
      </c>
      <c r="E149" s="30" t="s">
        <v>104</v>
      </c>
      <c r="F149" s="35" t="s">
        <v>516</v>
      </c>
      <c r="I149" s="30" t="s">
        <v>106</v>
      </c>
      <c r="J149" s="30" t="s">
        <v>107</v>
      </c>
      <c r="K149" s="30" t="s">
        <v>35</v>
      </c>
      <c r="L149" s="30" t="s">
        <v>107</v>
      </c>
      <c r="M149" s="30" t="s">
        <v>108</v>
      </c>
    </row>
    <row r="150" spans="4:13" ht="15" customHeight="1">
      <c r="D150" s="30" t="s">
        <v>143</v>
      </c>
      <c r="E150" s="30" t="s">
        <v>109</v>
      </c>
      <c r="F150" s="35" t="s">
        <v>110</v>
      </c>
      <c r="I150" s="30" t="s">
        <v>111</v>
      </c>
      <c r="J150" s="30">
        <v>2</v>
      </c>
      <c r="K150" s="30" t="s">
        <v>35</v>
      </c>
      <c r="L150" s="30" t="s">
        <v>107</v>
      </c>
      <c r="M150" s="30" t="s">
        <v>108</v>
      </c>
    </row>
    <row r="151" spans="4:13" ht="15" customHeight="1">
      <c r="D151" s="30" t="s">
        <v>143</v>
      </c>
      <c r="E151" s="30" t="s">
        <v>118</v>
      </c>
      <c r="G151" s="35" t="s">
        <v>145</v>
      </c>
      <c r="H151" s="35" t="s">
        <v>129</v>
      </c>
      <c r="I151" s="30" t="s">
        <v>121</v>
      </c>
      <c r="J151" s="30">
        <v>2</v>
      </c>
      <c r="K151" s="30" t="s">
        <v>35</v>
      </c>
      <c r="L151" s="30" t="s">
        <v>891</v>
      </c>
      <c r="M151" s="30" t="s">
        <v>108</v>
      </c>
    </row>
    <row r="152" spans="4:13" ht="15" customHeight="1">
      <c r="D152" s="30" t="s">
        <v>143</v>
      </c>
      <c r="E152" s="30" t="s">
        <v>122</v>
      </c>
      <c r="F152" s="35" t="s">
        <v>146</v>
      </c>
      <c r="I152" s="30" t="s">
        <v>124</v>
      </c>
      <c r="J152" s="30">
        <v>5</v>
      </c>
      <c r="K152" s="30" t="s">
        <v>35</v>
      </c>
      <c r="L152" s="30" t="s">
        <v>107</v>
      </c>
      <c r="M152" s="30" t="s">
        <v>108</v>
      </c>
    </row>
    <row r="153" spans="4:13" ht="15" customHeight="1">
      <c r="D153" s="30" t="s">
        <v>143</v>
      </c>
      <c r="E153" s="30" t="s">
        <v>104</v>
      </c>
      <c r="F153" s="30" t="s">
        <v>144</v>
      </c>
      <c r="I153" s="30" t="s">
        <v>106</v>
      </c>
      <c r="J153" s="30" t="s">
        <v>107</v>
      </c>
      <c r="K153" s="30" t="s">
        <v>35</v>
      </c>
      <c r="L153" s="30" t="s">
        <v>107</v>
      </c>
      <c r="M153" s="30" t="s">
        <v>108</v>
      </c>
    </row>
    <row r="154" spans="4:13" ht="15" customHeight="1">
      <c r="D154" s="30" t="s">
        <v>535</v>
      </c>
      <c r="E154" s="30" t="s">
        <v>109</v>
      </c>
      <c r="F154" s="35" t="s">
        <v>110</v>
      </c>
      <c r="I154" s="30" t="s">
        <v>111</v>
      </c>
      <c r="J154" s="30">
        <v>2</v>
      </c>
      <c r="K154" s="30" t="s">
        <v>35</v>
      </c>
      <c r="L154" s="30" t="s">
        <v>107</v>
      </c>
      <c r="M154" s="30" t="s">
        <v>108</v>
      </c>
    </row>
    <row r="155" spans="4:13" ht="15" customHeight="1">
      <c r="D155" s="30" t="s">
        <v>535</v>
      </c>
      <c r="E155" s="30" t="s">
        <v>118</v>
      </c>
      <c r="G155" s="35" t="s">
        <v>142</v>
      </c>
      <c r="H155" s="35" t="s">
        <v>139</v>
      </c>
      <c r="I155" s="30" t="s">
        <v>121</v>
      </c>
      <c r="J155" s="30">
        <v>2</v>
      </c>
      <c r="K155" s="30" t="s">
        <v>35</v>
      </c>
      <c r="L155" s="30" t="s">
        <v>891</v>
      </c>
      <c r="M155" s="30" t="s">
        <v>108</v>
      </c>
    </row>
    <row r="156" spans="4:13" ht="15" customHeight="1">
      <c r="D156" s="30" t="s">
        <v>535</v>
      </c>
      <c r="E156" s="30" t="s">
        <v>122</v>
      </c>
      <c r="F156" s="35" t="s">
        <v>536</v>
      </c>
      <c r="I156" s="30" t="s">
        <v>124</v>
      </c>
      <c r="J156" s="30">
        <v>5</v>
      </c>
      <c r="K156" s="30" t="s">
        <v>35</v>
      </c>
      <c r="L156" s="30" t="s">
        <v>107</v>
      </c>
      <c r="M156" s="30" t="s">
        <v>108</v>
      </c>
    </row>
    <row r="157" spans="4:13" ht="15" customHeight="1">
      <c r="D157" s="30" t="s">
        <v>535</v>
      </c>
      <c r="E157" s="30" t="s">
        <v>104</v>
      </c>
      <c r="F157" s="35" t="s">
        <v>277</v>
      </c>
      <c r="I157" s="30" t="s">
        <v>106</v>
      </c>
      <c r="J157" s="30" t="s">
        <v>107</v>
      </c>
      <c r="K157" s="30" t="s">
        <v>35</v>
      </c>
      <c r="L157" s="30" t="s">
        <v>107</v>
      </c>
      <c r="M157" s="30" t="s">
        <v>108</v>
      </c>
    </row>
    <row r="158" spans="4:13" ht="15" customHeight="1">
      <c r="D158" s="30" t="s">
        <v>147</v>
      </c>
      <c r="E158" s="30" t="s">
        <v>109</v>
      </c>
      <c r="F158" s="35" t="s">
        <v>110</v>
      </c>
      <c r="I158" s="30" t="s">
        <v>111</v>
      </c>
      <c r="J158" s="30">
        <v>2</v>
      </c>
      <c r="K158" s="30" t="s">
        <v>35</v>
      </c>
      <c r="L158" s="30" t="s">
        <v>107</v>
      </c>
      <c r="M158" s="30" t="s">
        <v>108</v>
      </c>
    </row>
    <row r="159" spans="4:13" ht="15" customHeight="1">
      <c r="D159" s="30" t="s">
        <v>147</v>
      </c>
      <c r="E159" s="30" t="s">
        <v>118</v>
      </c>
      <c r="G159" s="35" t="s">
        <v>129</v>
      </c>
      <c r="H159" s="35" t="s">
        <v>130</v>
      </c>
      <c r="I159" s="30" t="s">
        <v>121</v>
      </c>
      <c r="J159" s="30">
        <v>2</v>
      </c>
      <c r="K159" s="30" t="s">
        <v>35</v>
      </c>
      <c r="L159" s="30" t="s">
        <v>891</v>
      </c>
      <c r="M159" s="30" t="s">
        <v>108</v>
      </c>
    </row>
    <row r="160" spans="4:13" ht="15" customHeight="1">
      <c r="D160" s="30" t="s">
        <v>147</v>
      </c>
      <c r="E160" s="30" t="s">
        <v>122</v>
      </c>
      <c r="F160" s="35" t="s">
        <v>148</v>
      </c>
      <c r="I160" s="30" t="s">
        <v>124</v>
      </c>
      <c r="J160" s="30">
        <v>5</v>
      </c>
      <c r="K160" s="30" t="s">
        <v>35</v>
      </c>
      <c r="L160" s="30" t="s">
        <v>107</v>
      </c>
      <c r="M160" s="30" t="s">
        <v>108</v>
      </c>
    </row>
    <row r="161" spans="4:13" ht="15" customHeight="1">
      <c r="D161" s="30" t="s">
        <v>147</v>
      </c>
      <c r="E161" s="30" t="s">
        <v>104</v>
      </c>
      <c r="F161" s="35" t="s">
        <v>141</v>
      </c>
      <c r="I161" s="30" t="s">
        <v>106</v>
      </c>
      <c r="J161" s="30" t="s">
        <v>107</v>
      </c>
      <c r="K161" s="30" t="s">
        <v>35</v>
      </c>
      <c r="L161" s="30" t="s">
        <v>107</v>
      </c>
      <c r="M161" s="30" t="s">
        <v>108</v>
      </c>
    </row>
    <row r="162" spans="4:13" ht="15" customHeight="1">
      <c r="D162" s="30" t="s">
        <v>149</v>
      </c>
      <c r="E162" s="30" t="s">
        <v>109</v>
      </c>
      <c r="F162" s="35" t="s">
        <v>110</v>
      </c>
      <c r="I162" s="30" t="s">
        <v>111</v>
      </c>
      <c r="J162" s="30">
        <v>2</v>
      </c>
      <c r="K162" s="30" t="s">
        <v>35</v>
      </c>
      <c r="L162" s="30" t="s">
        <v>107</v>
      </c>
      <c r="M162" s="30" t="s">
        <v>108</v>
      </c>
    </row>
    <row r="163" spans="4:13" ht="15" customHeight="1">
      <c r="D163" s="30" t="s">
        <v>149</v>
      </c>
      <c r="E163" s="30" t="s">
        <v>131</v>
      </c>
      <c r="G163" s="35" t="s">
        <v>150</v>
      </c>
      <c r="H163" s="35" t="s">
        <v>151</v>
      </c>
      <c r="I163" s="30" t="s">
        <v>134</v>
      </c>
      <c r="J163" s="30">
        <v>5</v>
      </c>
      <c r="K163" s="30" t="s">
        <v>35</v>
      </c>
      <c r="L163" s="30" t="s">
        <v>135</v>
      </c>
      <c r="M163" s="30" t="s">
        <v>108</v>
      </c>
    </row>
    <row r="164" spans="4:13" ht="15" customHeight="1">
      <c r="D164" s="30" t="s">
        <v>149</v>
      </c>
      <c r="E164" s="30" t="s">
        <v>118</v>
      </c>
      <c r="G164" s="35" t="s">
        <v>129</v>
      </c>
      <c r="H164" s="35" t="s">
        <v>130</v>
      </c>
      <c r="I164" s="30" t="s">
        <v>121</v>
      </c>
      <c r="J164" s="30">
        <v>2</v>
      </c>
      <c r="K164" s="30" t="s">
        <v>35</v>
      </c>
      <c r="L164" s="30" t="s">
        <v>891</v>
      </c>
      <c r="M164" s="30" t="s">
        <v>108</v>
      </c>
    </row>
    <row r="165" spans="4:13" ht="15" customHeight="1">
      <c r="D165" s="30" t="s">
        <v>149</v>
      </c>
      <c r="E165" s="30" t="s">
        <v>122</v>
      </c>
      <c r="F165" s="35" t="s">
        <v>152</v>
      </c>
      <c r="I165" s="30" t="s">
        <v>124</v>
      </c>
      <c r="J165" s="30">
        <v>5</v>
      </c>
      <c r="K165" s="30" t="s">
        <v>35</v>
      </c>
      <c r="L165" s="30" t="s">
        <v>107</v>
      </c>
      <c r="M165" s="30" t="s">
        <v>108</v>
      </c>
    </row>
    <row r="166" spans="4:13" ht="15" customHeight="1">
      <c r="D166" s="30" t="s">
        <v>149</v>
      </c>
      <c r="E166" s="30" t="s">
        <v>104</v>
      </c>
      <c r="F166" s="35" t="s">
        <v>141</v>
      </c>
      <c r="I166" s="30" t="s">
        <v>106</v>
      </c>
      <c r="J166" s="30" t="s">
        <v>107</v>
      </c>
      <c r="K166" s="30" t="s">
        <v>35</v>
      </c>
      <c r="L166" s="30" t="s">
        <v>107</v>
      </c>
      <c r="M166" s="30" t="s">
        <v>108</v>
      </c>
    </row>
    <row r="167" spans="4:13" ht="15" customHeight="1">
      <c r="D167" s="30" t="s">
        <v>153</v>
      </c>
      <c r="E167" s="30" t="s">
        <v>109</v>
      </c>
      <c r="F167" s="35" t="s">
        <v>110</v>
      </c>
      <c r="I167" s="30" t="s">
        <v>111</v>
      </c>
      <c r="J167" s="30">
        <v>2</v>
      </c>
      <c r="K167" s="30" t="s">
        <v>35</v>
      </c>
      <c r="L167" s="30" t="s">
        <v>107</v>
      </c>
      <c r="M167" s="30" t="s">
        <v>108</v>
      </c>
    </row>
    <row r="168" spans="4:13" ht="15" customHeight="1">
      <c r="D168" s="30" t="s">
        <v>153</v>
      </c>
      <c r="E168" s="30" t="s">
        <v>131</v>
      </c>
      <c r="G168" s="35" t="s">
        <v>132</v>
      </c>
      <c r="H168" s="35" t="s">
        <v>133</v>
      </c>
      <c r="I168" s="30" t="s">
        <v>134</v>
      </c>
      <c r="J168" s="30">
        <v>5</v>
      </c>
      <c r="K168" s="30" t="s">
        <v>35</v>
      </c>
      <c r="L168" s="30" t="s">
        <v>135</v>
      </c>
      <c r="M168" s="30" t="s">
        <v>108</v>
      </c>
    </row>
    <row r="169" spans="4:13" ht="15" customHeight="1">
      <c r="D169" s="30" t="s">
        <v>153</v>
      </c>
      <c r="E169" s="30" t="s">
        <v>118</v>
      </c>
      <c r="G169" s="35" t="s">
        <v>129</v>
      </c>
      <c r="H169" s="35" t="s">
        <v>130</v>
      </c>
      <c r="I169" s="30" t="s">
        <v>121</v>
      </c>
      <c r="J169" s="30">
        <v>2</v>
      </c>
      <c r="K169" s="30" t="s">
        <v>35</v>
      </c>
      <c r="L169" s="30" t="s">
        <v>891</v>
      </c>
      <c r="M169" s="30" t="s">
        <v>108</v>
      </c>
    </row>
    <row r="170" spans="4:13" ht="15" customHeight="1">
      <c r="D170" s="30" t="s">
        <v>153</v>
      </c>
      <c r="E170" s="30" t="s">
        <v>122</v>
      </c>
      <c r="F170" s="35" t="s">
        <v>136</v>
      </c>
      <c r="I170" s="30" t="s">
        <v>124</v>
      </c>
      <c r="J170" s="30">
        <v>5</v>
      </c>
      <c r="K170" s="30" t="s">
        <v>35</v>
      </c>
      <c r="L170" s="30" t="s">
        <v>107</v>
      </c>
      <c r="M170" s="30" t="s">
        <v>108</v>
      </c>
    </row>
    <row r="171" spans="4:13" ht="15" customHeight="1">
      <c r="D171" s="30" t="s">
        <v>153</v>
      </c>
      <c r="E171" s="30" t="s">
        <v>104</v>
      </c>
      <c r="F171" s="35" t="s">
        <v>154</v>
      </c>
      <c r="I171" s="30" t="s">
        <v>106</v>
      </c>
      <c r="J171" s="30" t="s">
        <v>107</v>
      </c>
      <c r="K171" s="30" t="s">
        <v>35</v>
      </c>
      <c r="L171" s="30" t="s">
        <v>107</v>
      </c>
      <c r="M171" s="30" t="s">
        <v>108</v>
      </c>
    </row>
    <row r="172" spans="4:13" ht="15" customHeight="1">
      <c r="D172" s="30" t="s">
        <v>155</v>
      </c>
      <c r="E172" s="30" t="s">
        <v>109</v>
      </c>
      <c r="F172" s="35" t="s">
        <v>110</v>
      </c>
      <c r="I172" s="30" t="s">
        <v>111</v>
      </c>
      <c r="J172" s="30">
        <v>2</v>
      </c>
      <c r="K172" s="30" t="s">
        <v>35</v>
      </c>
      <c r="L172" s="30" t="s">
        <v>107</v>
      </c>
      <c r="M172" s="30" t="s">
        <v>108</v>
      </c>
    </row>
    <row r="173" spans="4:13" ht="15" customHeight="1">
      <c r="D173" s="30" t="s">
        <v>155</v>
      </c>
      <c r="E173" s="30" t="s">
        <v>131</v>
      </c>
      <c r="G173" s="35" t="s">
        <v>132</v>
      </c>
      <c r="H173" s="35" t="s">
        <v>151</v>
      </c>
      <c r="I173" s="30" t="s">
        <v>134</v>
      </c>
      <c r="J173" s="30">
        <v>5</v>
      </c>
      <c r="K173" s="30" t="s">
        <v>35</v>
      </c>
      <c r="L173" s="30" t="s">
        <v>135</v>
      </c>
      <c r="M173" s="30" t="s">
        <v>108</v>
      </c>
    </row>
    <row r="174" spans="4:13" ht="15" customHeight="1">
      <c r="D174" s="30" t="s">
        <v>155</v>
      </c>
      <c r="E174" s="30" t="s">
        <v>118</v>
      </c>
      <c r="G174" s="35" t="s">
        <v>142</v>
      </c>
      <c r="H174" s="35" t="s">
        <v>129</v>
      </c>
      <c r="I174" s="30" t="s">
        <v>121</v>
      </c>
      <c r="J174" s="30">
        <v>2</v>
      </c>
      <c r="K174" s="30" t="s">
        <v>35</v>
      </c>
      <c r="L174" s="30" t="s">
        <v>891</v>
      </c>
      <c r="M174" s="30" t="s">
        <v>108</v>
      </c>
    </row>
    <row r="175" spans="4:13" ht="15" customHeight="1">
      <c r="D175" s="30" t="s">
        <v>155</v>
      </c>
      <c r="E175" s="30" t="s">
        <v>122</v>
      </c>
      <c r="F175" s="35" t="s">
        <v>157</v>
      </c>
      <c r="I175" s="30" t="s">
        <v>124</v>
      </c>
      <c r="J175" s="30">
        <v>5</v>
      </c>
      <c r="K175" s="30" t="s">
        <v>35</v>
      </c>
      <c r="L175" s="30" t="s">
        <v>107</v>
      </c>
      <c r="M175" s="30" t="s">
        <v>108</v>
      </c>
    </row>
    <row r="176" spans="4:13" ht="15" customHeight="1">
      <c r="D176" s="30" t="s">
        <v>155</v>
      </c>
      <c r="E176" s="30" t="s">
        <v>104</v>
      </c>
      <c r="F176" s="35" t="s">
        <v>156</v>
      </c>
      <c r="I176" s="30" t="s">
        <v>106</v>
      </c>
      <c r="J176" s="30" t="s">
        <v>107</v>
      </c>
      <c r="K176" s="30" t="s">
        <v>35</v>
      </c>
      <c r="L176" s="30" t="s">
        <v>107</v>
      </c>
      <c r="M176" s="30" t="s">
        <v>108</v>
      </c>
    </row>
    <row r="177" spans="4:13" ht="15" customHeight="1">
      <c r="D177" s="30" t="s">
        <v>617</v>
      </c>
      <c r="E177" s="30" t="s">
        <v>109</v>
      </c>
      <c r="F177" s="35" t="s">
        <v>110</v>
      </c>
      <c r="I177" s="30" t="s">
        <v>111</v>
      </c>
      <c r="J177" s="30">
        <v>2</v>
      </c>
      <c r="K177" s="30" t="s">
        <v>35</v>
      </c>
      <c r="L177" s="30" t="s">
        <v>107</v>
      </c>
      <c r="M177" s="30" t="s">
        <v>108</v>
      </c>
    </row>
    <row r="178" spans="4:13" ht="15" customHeight="1">
      <c r="D178" s="30" t="s">
        <v>617</v>
      </c>
      <c r="E178" s="30" t="s">
        <v>131</v>
      </c>
      <c r="G178" s="35" t="s">
        <v>150</v>
      </c>
      <c r="H178" s="35" t="s">
        <v>151</v>
      </c>
      <c r="I178" s="30" t="s">
        <v>134</v>
      </c>
      <c r="J178" s="30">
        <v>5</v>
      </c>
      <c r="K178" s="30" t="s">
        <v>35</v>
      </c>
      <c r="L178" s="30" t="s">
        <v>135</v>
      </c>
      <c r="M178" s="30" t="s">
        <v>108</v>
      </c>
    </row>
    <row r="179" spans="4:13" ht="15" customHeight="1">
      <c r="D179" s="30" t="s">
        <v>617</v>
      </c>
      <c r="E179" s="30" t="s">
        <v>118</v>
      </c>
      <c r="G179" s="35" t="s">
        <v>129</v>
      </c>
      <c r="H179" s="35" t="s">
        <v>130</v>
      </c>
      <c r="I179" s="30" t="s">
        <v>121</v>
      </c>
      <c r="J179" s="30">
        <v>2</v>
      </c>
      <c r="K179" s="30" t="s">
        <v>35</v>
      </c>
      <c r="L179" s="30" t="s">
        <v>891</v>
      </c>
      <c r="M179" s="30" t="s">
        <v>108</v>
      </c>
    </row>
    <row r="180" spans="4:13" ht="15" customHeight="1">
      <c r="D180" s="30" t="s">
        <v>617</v>
      </c>
      <c r="E180" s="30" t="s">
        <v>122</v>
      </c>
      <c r="F180" s="35" t="s">
        <v>618</v>
      </c>
      <c r="I180" s="30" t="s">
        <v>124</v>
      </c>
      <c r="J180" s="30">
        <v>5</v>
      </c>
      <c r="K180" s="30" t="s">
        <v>35</v>
      </c>
      <c r="L180" s="30" t="s">
        <v>107</v>
      </c>
      <c r="M180" s="30" t="s">
        <v>108</v>
      </c>
    </row>
    <row r="181" spans="4:13" ht="15" customHeight="1">
      <c r="D181" s="30" t="s">
        <v>617</v>
      </c>
      <c r="E181" s="30" t="s">
        <v>104</v>
      </c>
      <c r="F181" s="30" t="s">
        <v>141</v>
      </c>
      <c r="I181" s="30" t="s">
        <v>106</v>
      </c>
      <c r="J181" s="30">
        <v>2</v>
      </c>
      <c r="K181" s="30" t="s">
        <v>35</v>
      </c>
      <c r="L181" s="30" t="s">
        <v>107</v>
      </c>
      <c r="M181" s="30" t="s">
        <v>108</v>
      </c>
    </row>
    <row r="182" spans="4:13" ht="15" customHeight="1">
      <c r="D182" s="30" t="s">
        <v>158</v>
      </c>
      <c r="E182" s="30" t="s">
        <v>109</v>
      </c>
      <c r="F182" s="35" t="s">
        <v>110</v>
      </c>
      <c r="I182" s="30" t="s">
        <v>111</v>
      </c>
      <c r="J182" s="30">
        <v>2</v>
      </c>
      <c r="K182" s="30" t="s">
        <v>35</v>
      </c>
      <c r="L182" s="30" t="s">
        <v>107</v>
      </c>
      <c r="M182" s="30" t="s">
        <v>108</v>
      </c>
    </row>
    <row r="183" spans="4:13" ht="13.5" customHeight="1">
      <c r="D183" s="30" t="s">
        <v>158</v>
      </c>
      <c r="E183" s="30" t="s">
        <v>131</v>
      </c>
      <c r="G183" s="35" t="s">
        <v>162</v>
      </c>
      <c r="H183" s="35" t="s">
        <v>163</v>
      </c>
      <c r="I183" s="30" t="s">
        <v>134</v>
      </c>
      <c r="J183" s="30">
        <v>5</v>
      </c>
      <c r="K183" s="30" t="s">
        <v>35</v>
      </c>
      <c r="L183" s="30" t="s">
        <v>135</v>
      </c>
      <c r="M183" s="30" t="s">
        <v>108</v>
      </c>
    </row>
    <row r="184" spans="4:13" ht="15" customHeight="1">
      <c r="D184" s="30" t="s">
        <v>158</v>
      </c>
      <c r="E184" s="30" t="s">
        <v>118</v>
      </c>
      <c r="G184" s="35" t="s">
        <v>160</v>
      </c>
      <c r="H184" s="35" t="s">
        <v>161</v>
      </c>
      <c r="I184" s="30" t="s">
        <v>121</v>
      </c>
      <c r="J184" s="30">
        <v>2</v>
      </c>
      <c r="K184" s="30" t="s">
        <v>35</v>
      </c>
      <c r="L184" s="30" t="s">
        <v>891</v>
      </c>
      <c r="M184" s="30" t="s">
        <v>108</v>
      </c>
    </row>
    <row r="185" spans="4:13" ht="15" customHeight="1">
      <c r="D185" s="30" t="s">
        <v>158</v>
      </c>
      <c r="E185" s="30" t="s">
        <v>122</v>
      </c>
      <c r="F185" s="35" t="s">
        <v>123</v>
      </c>
      <c r="I185" s="30" t="s">
        <v>124</v>
      </c>
      <c r="J185" s="30">
        <v>5</v>
      </c>
      <c r="K185" s="30" t="s">
        <v>35</v>
      </c>
      <c r="L185" s="30" t="s">
        <v>107</v>
      </c>
      <c r="M185" s="30" t="s">
        <v>108</v>
      </c>
    </row>
    <row r="186" spans="4:13" ht="15" customHeight="1">
      <c r="D186" s="30" t="s">
        <v>158</v>
      </c>
      <c r="E186" s="30" t="s">
        <v>104</v>
      </c>
      <c r="F186" s="35" t="s">
        <v>159</v>
      </c>
      <c r="I186" s="30" t="s">
        <v>106</v>
      </c>
      <c r="J186" s="30" t="s">
        <v>107</v>
      </c>
      <c r="K186" s="30" t="s">
        <v>35</v>
      </c>
      <c r="L186" s="30" t="s">
        <v>107</v>
      </c>
      <c r="M186" s="30" t="s">
        <v>108</v>
      </c>
    </row>
    <row r="187" spans="4:13" ht="15" customHeight="1">
      <c r="D187" s="30" t="s">
        <v>164</v>
      </c>
      <c r="E187" s="30" t="s">
        <v>109</v>
      </c>
      <c r="F187" s="35" t="s">
        <v>110</v>
      </c>
      <c r="I187" s="30" t="s">
        <v>111</v>
      </c>
      <c r="J187" s="30">
        <v>2</v>
      </c>
      <c r="K187" s="30" t="s">
        <v>35</v>
      </c>
      <c r="L187" s="30" t="s">
        <v>107</v>
      </c>
      <c r="M187" s="30" t="s">
        <v>108</v>
      </c>
    </row>
    <row r="188" spans="4:13" ht="15" customHeight="1">
      <c r="D188" s="30" t="s">
        <v>164</v>
      </c>
      <c r="E188" s="30" t="s">
        <v>118</v>
      </c>
      <c r="G188" s="35" t="s">
        <v>142</v>
      </c>
      <c r="H188" s="35" t="s">
        <v>139</v>
      </c>
      <c r="I188" s="30" t="s">
        <v>121</v>
      </c>
      <c r="J188" s="30">
        <v>2</v>
      </c>
      <c r="K188" s="30" t="s">
        <v>35</v>
      </c>
      <c r="L188" s="30" t="s">
        <v>891</v>
      </c>
      <c r="M188" s="30" t="s">
        <v>108</v>
      </c>
    </row>
    <row r="189" spans="4:13" ht="15" customHeight="1">
      <c r="D189" s="30" t="s">
        <v>164</v>
      </c>
      <c r="E189" s="30" t="s">
        <v>122</v>
      </c>
      <c r="F189" s="35" t="s">
        <v>166</v>
      </c>
      <c r="I189" s="30" t="s">
        <v>124</v>
      </c>
      <c r="J189" s="30">
        <v>5</v>
      </c>
      <c r="K189" s="30" t="s">
        <v>35</v>
      </c>
      <c r="L189" s="30" t="s">
        <v>107</v>
      </c>
      <c r="M189" s="30" t="s">
        <v>108</v>
      </c>
    </row>
    <row r="190" spans="4:13" ht="15" customHeight="1">
      <c r="D190" s="30" t="s">
        <v>164</v>
      </c>
      <c r="E190" s="30" t="s">
        <v>104</v>
      </c>
      <c r="F190" s="35" t="s">
        <v>165</v>
      </c>
      <c r="I190" s="30" t="s">
        <v>106</v>
      </c>
      <c r="J190" s="30" t="s">
        <v>107</v>
      </c>
      <c r="K190" s="30" t="s">
        <v>35</v>
      </c>
      <c r="L190" s="30" t="s">
        <v>107</v>
      </c>
      <c r="M190" s="30" t="s">
        <v>108</v>
      </c>
    </row>
    <row r="191" spans="4:13" ht="15" customHeight="1">
      <c r="D191" s="30" t="s">
        <v>167</v>
      </c>
      <c r="E191" s="30" t="s">
        <v>109</v>
      </c>
      <c r="F191" s="35" t="s">
        <v>110</v>
      </c>
      <c r="I191" s="30" t="s">
        <v>111</v>
      </c>
      <c r="J191" s="30">
        <v>2</v>
      </c>
      <c r="K191" s="30" t="s">
        <v>35</v>
      </c>
      <c r="L191" s="30" t="s">
        <v>107</v>
      </c>
      <c r="M191" s="30" t="s">
        <v>108</v>
      </c>
    </row>
    <row r="192" spans="4:13" ht="15" customHeight="1">
      <c r="D192" s="30" t="s">
        <v>167</v>
      </c>
      <c r="E192" s="30" t="s">
        <v>118</v>
      </c>
      <c r="G192" s="35" t="s">
        <v>142</v>
      </c>
      <c r="H192" s="35" t="s">
        <v>129</v>
      </c>
      <c r="I192" s="30" t="s">
        <v>121</v>
      </c>
      <c r="J192" s="30">
        <v>2</v>
      </c>
      <c r="K192" s="30" t="s">
        <v>35</v>
      </c>
      <c r="L192" s="30" t="s">
        <v>891</v>
      </c>
      <c r="M192" s="30" t="s">
        <v>108</v>
      </c>
    </row>
    <row r="193" spans="4:13" ht="15" customHeight="1">
      <c r="D193" s="30" t="s">
        <v>167</v>
      </c>
      <c r="E193" s="30" t="s">
        <v>122</v>
      </c>
      <c r="F193" s="35" t="s">
        <v>169</v>
      </c>
      <c r="I193" s="30" t="s">
        <v>124</v>
      </c>
      <c r="J193" s="30">
        <v>5</v>
      </c>
      <c r="K193" s="30" t="s">
        <v>35</v>
      </c>
      <c r="L193" s="30" t="s">
        <v>107</v>
      </c>
      <c r="M193" s="30" t="s">
        <v>108</v>
      </c>
    </row>
    <row r="194" spans="4:13" ht="15" customHeight="1">
      <c r="D194" s="30" t="s">
        <v>167</v>
      </c>
      <c r="E194" s="30" t="s">
        <v>104</v>
      </c>
      <c r="F194" s="35" t="s">
        <v>168</v>
      </c>
      <c r="I194" s="30" t="s">
        <v>106</v>
      </c>
      <c r="J194" s="30" t="s">
        <v>107</v>
      </c>
      <c r="K194" s="30" t="s">
        <v>35</v>
      </c>
      <c r="L194" s="30" t="s">
        <v>107</v>
      </c>
      <c r="M194" s="30" t="s">
        <v>108</v>
      </c>
    </row>
    <row r="195" spans="4:13" ht="15" customHeight="1">
      <c r="D195" s="30" t="s">
        <v>170</v>
      </c>
      <c r="E195" s="30" t="s">
        <v>109</v>
      </c>
      <c r="F195" s="35" t="s">
        <v>110</v>
      </c>
      <c r="I195" s="30" t="s">
        <v>111</v>
      </c>
      <c r="J195" s="30">
        <v>2</v>
      </c>
      <c r="K195" s="30" t="s">
        <v>35</v>
      </c>
      <c r="L195" s="30" t="s">
        <v>107</v>
      </c>
      <c r="M195" s="30" t="s">
        <v>108</v>
      </c>
    </row>
    <row r="196" spans="4:13" ht="15" customHeight="1">
      <c r="D196" s="30" t="s">
        <v>170</v>
      </c>
      <c r="E196" s="30" t="s">
        <v>131</v>
      </c>
      <c r="G196" s="35" t="s">
        <v>162</v>
      </c>
      <c r="H196" s="35" t="s">
        <v>163</v>
      </c>
      <c r="I196" s="30" t="s">
        <v>134</v>
      </c>
      <c r="J196" s="30">
        <v>5</v>
      </c>
      <c r="K196" s="30" t="s">
        <v>35</v>
      </c>
      <c r="L196" s="30" t="s">
        <v>135</v>
      </c>
      <c r="M196" s="30" t="s">
        <v>108</v>
      </c>
    </row>
    <row r="197" spans="4:13" ht="15" customHeight="1">
      <c r="D197" s="30" t="s">
        <v>170</v>
      </c>
      <c r="E197" s="30" t="s">
        <v>118</v>
      </c>
      <c r="G197" s="35" t="s">
        <v>129</v>
      </c>
      <c r="H197" s="35" t="s">
        <v>130</v>
      </c>
      <c r="I197" s="30" t="s">
        <v>121</v>
      </c>
      <c r="J197" s="30">
        <v>2</v>
      </c>
      <c r="K197" s="30" t="s">
        <v>35</v>
      </c>
      <c r="L197" s="30" t="s">
        <v>891</v>
      </c>
      <c r="M197" s="30" t="s">
        <v>108</v>
      </c>
    </row>
    <row r="198" spans="4:13" ht="15" customHeight="1">
      <c r="D198" s="30" t="s">
        <v>170</v>
      </c>
      <c r="E198" s="30" t="s">
        <v>122</v>
      </c>
      <c r="F198" s="35" t="s">
        <v>172</v>
      </c>
      <c r="I198" s="30" t="s">
        <v>124</v>
      </c>
      <c r="J198" s="30">
        <v>5</v>
      </c>
      <c r="K198" s="30" t="s">
        <v>35</v>
      </c>
      <c r="L198" s="30" t="s">
        <v>107</v>
      </c>
      <c r="M198" s="30" t="s">
        <v>108</v>
      </c>
    </row>
    <row r="199" spans="4:13" ht="15" customHeight="1">
      <c r="D199" s="30" t="s">
        <v>170</v>
      </c>
      <c r="E199" s="30" t="s">
        <v>104</v>
      </c>
      <c r="F199" s="35" t="s">
        <v>171</v>
      </c>
      <c r="I199" s="30" t="s">
        <v>106</v>
      </c>
      <c r="J199" s="30" t="s">
        <v>107</v>
      </c>
      <c r="K199" s="30" t="s">
        <v>35</v>
      </c>
      <c r="L199" s="30" t="s">
        <v>107</v>
      </c>
      <c r="M199" s="30" t="s">
        <v>108</v>
      </c>
    </row>
    <row r="200" spans="4:13" ht="15" customHeight="1">
      <c r="D200" s="30" t="s">
        <v>173</v>
      </c>
      <c r="E200" s="30" t="s">
        <v>109</v>
      </c>
      <c r="F200" s="35" t="s">
        <v>110</v>
      </c>
      <c r="I200" s="30" t="s">
        <v>111</v>
      </c>
      <c r="J200" s="30">
        <v>2</v>
      </c>
      <c r="K200" s="30" t="s">
        <v>35</v>
      </c>
      <c r="L200" s="30" t="s">
        <v>107</v>
      </c>
      <c r="M200" s="30" t="s">
        <v>108</v>
      </c>
    </row>
    <row r="201" spans="4:13" ht="15" customHeight="1">
      <c r="D201" s="30" t="s">
        <v>173</v>
      </c>
      <c r="E201" s="30" t="s">
        <v>131</v>
      </c>
      <c r="G201" s="35" t="s">
        <v>175</v>
      </c>
      <c r="H201" s="35" t="s">
        <v>176</v>
      </c>
      <c r="I201" s="30" t="s">
        <v>134</v>
      </c>
      <c r="J201" s="30">
        <v>5</v>
      </c>
      <c r="K201" s="30" t="s">
        <v>35</v>
      </c>
      <c r="L201" s="30" t="s">
        <v>135</v>
      </c>
      <c r="M201" s="30" t="s">
        <v>108</v>
      </c>
    </row>
    <row r="202" spans="4:13" ht="15" customHeight="1">
      <c r="D202" s="30" t="s">
        <v>173</v>
      </c>
      <c r="E202" s="30" t="s">
        <v>118</v>
      </c>
      <c r="G202" s="35" t="s">
        <v>129</v>
      </c>
      <c r="H202" s="35" t="s">
        <v>130</v>
      </c>
      <c r="I202" s="30" t="s">
        <v>121</v>
      </c>
      <c r="J202" s="30">
        <v>2</v>
      </c>
      <c r="K202" s="30" t="s">
        <v>35</v>
      </c>
      <c r="L202" s="30" t="s">
        <v>891</v>
      </c>
      <c r="M202" s="30" t="s">
        <v>108</v>
      </c>
    </row>
    <row r="203" spans="4:13" ht="15" customHeight="1">
      <c r="D203" s="30" t="s">
        <v>173</v>
      </c>
      <c r="E203" s="30" t="s">
        <v>122</v>
      </c>
      <c r="F203" s="35" t="s">
        <v>177</v>
      </c>
      <c r="I203" s="30" t="s">
        <v>124</v>
      </c>
      <c r="J203" s="30">
        <v>5</v>
      </c>
      <c r="K203" s="30" t="s">
        <v>35</v>
      </c>
      <c r="L203" s="30" t="s">
        <v>107</v>
      </c>
      <c r="M203" s="30" t="s">
        <v>108</v>
      </c>
    </row>
    <row r="204" spans="4:13" ht="15" customHeight="1">
      <c r="D204" s="30" t="s">
        <v>173</v>
      </c>
      <c r="E204" s="30" t="s">
        <v>104</v>
      </c>
      <c r="F204" s="35" t="s">
        <v>174</v>
      </c>
      <c r="I204" s="30" t="s">
        <v>106</v>
      </c>
      <c r="J204" s="30" t="s">
        <v>107</v>
      </c>
      <c r="K204" s="30" t="s">
        <v>35</v>
      </c>
      <c r="L204" s="30" t="s">
        <v>107</v>
      </c>
      <c r="M204" s="30" t="s">
        <v>108</v>
      </c>
    </row>
    <row r="205" spans="4:13" ht="15" customHeight="1">
      <c r="D205" s="30" t="s">
        <v>178</v>
      </c>
      <c r="E205" s="30" t="s">
        <v>109</v>
      </c>
      <c r="F205" s="35" t="s">
        <v>110</v>
      </c>
      <c r="I205" s="30" t="s">
        <v>111</v>
      </c>
      <c r="J205" s="30">
        <v>2</v>
      </c>
      <c r="K205" s="30" t="s">
        <v>35</v>
      </c>
      <c r="L205" s="30" t="s">
        <v>107</v>
      </c>
      <c r="M205" s="30" t="s">
        <v>108</v>
      </c>
    </row>
    <row r="206" spans="4:13" ht="15" customHeight="1">
      <c r="D206" s="30" t="s">
        <v>178</v>
      </c>
      <c r="E206" s="30" t="s">
        <v>131</v>
      </c>
      <c r="G206" s="35" t="s">
        <v>162</v>
      </c>
      <c r="H206" s="35" t="s">
        <v>163</v>
      </c>
      <c r="I206" s="30" t="s">
        <v>134</v>
      </c>
      <c r="J206" s="30">
        <v>5</v>
      </c>
      <c r="K206" s="30" t="s">
        <v>35</v>
      </c>
      <c r="L206" s="30" t="s">
        <v>135</v>
      </c>
      <c r="M206" s="30" t="s">
        <v>108</v>
      </c>
    </row>
    <row r="207" spans="4:13" ht="15" customHeight="1">
      <c r="D207" s="30" t="s">
        <v>178</v>
      </c>
      <c r="E207" s="30" t="s">
        <v>118</v>
      </c>
      <c r="G207" s="35" t="s">
        <v>129</v>
      </c>
      <c r="H207" s="35" t="s">
        <v>130</v>
      </c>
      <c r="I207" s="30" t="s">
        <v>121</v>
      </c>
      <c r="J207" s="30">
        <v>2</v>
      </c>
      <c r="K207" s="30" t="s">
        <v>35</v>
      </c>
      <c r="L207" s="30" t="s">
        <v>891</v>
      </c>
      <c r="M207" s="30" t="s">
        <v>108</v>
      </c>
    </row>
    <row r="208" spans="4:13" ht="15" customHeight="1">
      <c r="D208" s="30" t="s">
        <v>178</v>
      </c>
      <c r="E208" s="30" t="s">
        <v>122</v>
      </c>
      <c r="F208" s="35" t="s">
        <v>180</v>
      </c>
      <c r="I208" s="30" t="s">
        <v>124</v>
      </c>
      <c r="J208" s="30">
        <v>5</v>
      </c>
      <c r="K208" s="30" t="s">
        <v>35</v>
      </c>
      <c r="L208" s="30" t="s">
        <v>107</v>
      </c>
      <c r="M208" s="30" t="s">
        <v>108</v>
      </c>
    </row>
    <row r="209" spans="4:13" ht="15" customHeight="1">
      <c r="D209" s="30" t="s">
        <v>178</v>
      </c>
      <c r="E209" s="30" t="s">
        <v>104</v>
      </c>
      <c r="F209" s="35" t="s">
        <v>179</v>
      </c>
      <c r="I209" s="30" t="s">
        <v>106</v>
      </c>
      <c r="J209" s="30" t="s">
        <v>107</v>
      </c>
      <c r="K209" s="30" t="s">
        <v>35</v>
      </c>
      <c r="L209" s="30" t="s">
        <v>107</v>
      </c>
      <c r="M209" s="30" t="s">
        <v>108</v>
      </c>
    </row>
    <row r="210" spans="4:13" ht="15" customHeight="1">
      <c r="D210" s="30" t="s">
        <v>181</v>
      </c>
      <c r="E210" s="30" t="s">
        <v>109</v>
      </c>
      <c r="F210" s="35" t="s">
        <v>110</v>
      </c>
      <c r="I210" s="30" t="s">
        <v>111</v>
      </c>
      <c r="J210" s="30">
        <v>2</v>
      </c>
      <c r="K210" s="30" t="s">
        <v>35</v>
      </c>
      <c r="L210" s="30" t="s">
        <v>107</v>
      </c>
      <c r="M210" s="30" t="s">
        <v>108</v>
      </c>
    </row>
    <row r="211" spans="4:13" ht="15" customHeight="1">
      <c r="D211" s="30" t="s">
        <v>181</v>
      </c>
      <c r="E211" s="30" t="s">
        <v>131</v>
      </c>
      <c r="G211" s="35" t="s">
        <v>162</v>
      </c>
      <c r="H211" s="35" t="s">
        <v>163</v>
      </c>
      <c r="I211" s="30" t="s">
        <v>134</v>
      </c>
      <c r="J211" s="30">
        <v>5</v>
      </c>
      <c r="K211" s="30" t="s">
        <v>35</v>
      </c>
      <c r="L211" s="30" t="s">
        <v>135</v>
      </c>
      <c r="M211" s="30" t="s">
        <v>108</v>
      </c>
    </row>
    <row r="212" spans="4:13" ht="15" customHeight="1">
      <c r="D212" s="30" t="s">
        <v>181</v>
      </c>
      <c r="E212" s="30" t="s">
        <v>118</v>
      </c>
      <c r="G212" s="35" t="s">
        <v>129</v>
      </c>
      <c r="H212" s="35" t="s">
        <v>130</v>
      </c>
      <c r="I212" s="30" t="s">
        <v>121</v>
      </c>
      <c r="J212" s="30">
        <v>2</v>
      </c>
      <c r="K212" s="30" t="s">
        <v>35</v>
      </c>
      <c r="L212" s="30" t="s">
        <v>891</v>
      </c>
      <c r="M212" s="30" t="s">
        <v>108</v>
      </c>
    </row>
    <row r="213" spans="4:13" ht="15" customHeight="1">
      <c r="D213" s="30" t="s">
        <v>181</v>
      </c>
      <c r="E213" s="30" t="s">
        <v>122</v>
      </c>
      <c r="F213" s="35" t="s">
        <v>183</v>
      </c>
      <c r="I213" s="30" t="s">
        <v>124</v>
      </c>
      <c r="J213" s="30">
        <v>5</v>
      </c>
      <c r="K213" s="30" t="s">
        <v>35</v>
      </c>
      <c r="L213" s="30" t="s">
        <v>107</v>
      </c>
      <c r="M213" s="30" t="s">
        <v>108</v>
      </c>
    </row>
    <row r="214" spans="4:13" ht="15" customHeight="1">
      <c r="D214" s="30" t="s">
        <v>181</v>
      </c>
      <c r="E214" s="30" t="s">
        <v>104</v>
      </c>
      <c r="F214" s="35" t="s">
        <v>182</v>
      </c>
      <c r="I214" s="30" t="s">
        <v>106</v>
      </c>
      <c r="J214" s="30" t="s">
        <v>107</v>
      </c>
      <c r="K214" s="30" t="s">
        <v>35</v>
      </c>
      <c r="L214" s="30" t="s">
        <v>107</v>
      </c>
      <c r="M214" s="30" t="s">
        <v>108</v>
      </c>
    </row>
    <row r="215" spans="4:13" ht="15" customHeight="1">
      <c r="D215" s="30" t="s">
        <v>184</v>
      </c>
      <c r="E215" s="30" t="s">
        <v>109</v>
      </c>
      <c r="F215" s="35" t="s">
        <v>110</v>
      </c>
      <c r="I215" s="30" t="s">
        <v>111</v>
      </c>
      <c r="J215" s="30">
        <v>2</v>
      </c>
      <c r="K215" s="30" t="s">
        <v>35</v>
      </c>
      <c r="L215" s="30" t="s">
        <v>107</v>
      </c>
      <c r="M215" s="30" t="s">
        <v>108</v>
      </c>
    </row>
    <row r="216" spans="4:13" ht="15" customHeight="1">
      <c r="D216" s="30" t="s">
        <v>184</v>
      </c>
      <c r="E216" s="30" t="s">
        <v>131</v>
      </c>
      <c r="G216" s="35" t="s">
        <v>150</v>
      </c>
      <c r="H216" s="35" t="s">
        <v>185</v>
      </c>
      <c r="I216" s="30" t="s">
        <v>134</v>
      </c>
      <c r="J216" s="30">
        <v>5</v>
      </c>
      <c r="K216" s="30" t="s">
        <v>35</v>
      </c>
      <c r="L216" s="30" t="s">
        <v>135</v>
      </c>
      <c r="M216" s="30" t="s">
        <v>108</v>
      </c>
    </row>
    <row r="217" spans="4:13" ht="15" customHeight="1">
      <c r="D217" s="30" t="s">
        <v>184</v>
      </c>
      <c r="E217" s="30" t="s">
        <v>118</v>
      </c>
      <c r="G217" s="35" t="s">
        <v>142</v>
      </c>
      <c r="H217" s="35" t="s">
        <v>129</v>
      </c>
      <c r="I217" s="30" t="s">
        <v>121</v>
      </c>
      <c r="J217" s="30">
        <v>2</v>
      </c>
      <c r="K217" s="30" t="s">
        <v>35</v>
      </c>
      <c r="L217" s="30" t="s">
        <v>891</v>
      </c>
      <c r="M217" s="30" t="s">
        <v>108</v>
      </c>
    </row>
    <row r="218" spans="4:13" ht="15" customHeight="1">
      <c r="D218" s="30" t="s">
        <v>184</v>
      </c>
      <c r="E218" s="30" t="s">
        <v>122</v>
      </c>
      <c r="F218" s="35" t="s">
        <v>157</v>
      </c>
      <c r="I218" s="30" t="s">
        <v>124</v>
      </c>
      <c r="J218" s="30">
        <v>5</v>
      </c>
      <c r="K218" s="30" t="s">
        <v>35</v>
      </c>
      <c r="L218" s="30" t="s">
        <v>107</v>
      </c>
      <c r="M218" s="30" t="s">
        <v>108</v>
      </c>
    </row>
    <row r="219" spans="4:13" ht="15" customHeight="1">
      <c r="D219" s="30" t="s">
        <v>184</v>
      </c>
      <c r="E219" s="30" t="s">
        <v>104</v>
      </c>
      <c r="F219" s="35" t="s">
        <v>174</v>
      </c>
      <c r="I219" s="30" t="s">
        <v>106</v>
      </c>
      <c r="J219" s="30" t="s">
        <v>107</v>
      </c>
      <c r="K219" s="30" t="s">
        <v>35</v>
      </c>
      <c r="L219" s="30" t="s">
        <v>107</v>
      </c>
      <c r="M219" s="30" t="s">
        <v>108</v>
      </c>
    </row>
    <row r="220" spans="4:13" ht="15" customHeight="1">
      <c r="D220" s="30" t="s">
        <v>186</v>
      </c>
      <c r="E220" s="30" t="s">
        <v>109</v>
      </c>
      <c r="F220" s="35" t="s">
        <v>110</v>
      </c>
      <c r="I220" s="30" t="s">
        <v>111</v>
      </c>
      <c r="J220" s="30">
        <v>2</v>
      </c>
      <c r="K220" s="30" t="s">
        <v>35</v>
      </c>
      <c r="L220" s="30" t="s">
        <v>107</v>
      </c>
      <c r="M220" s="30" t="s">
        <v>108</v>
      </c>
    </row>
    <row r="221" spans="4:13" ht="15" customHeight="1">
      <c r="D221" s="30" t="s">
        <v>186</v>
      </c>
      <c r="E221" s="30" t="s">
        <v>131</v>
      </c>
      <c r="G221" s="35" t="s">
        <v>187</v>
      </c>
      <c r="H221" s="35" t="s">
        <v>163</v>
      </c>
      <c r="I221" s="30" t="s">
        <v>134</v>
      </c>
      <c r="J221" s="30">
        <v>5</v>
      </c>
      <c r="K221" s="30" t="s">
        <v>35</v>
      </c>
      <c r="L221" s="30" t="s">
        <v>135</v>
      </c>
      <c r="M221" s="30" t="s">
        <v>108</v>
      </c>
    </row>
    <row r="222" spans="4:13" ht="15" customHeight="1">
      <c r="D222" s="30" t="s">
        <v>186</v>
      </c>
      <c r="E222" s="30" t="s">
        <v>118</v>
      </c>
      <c r="G222" s="35" t="s">
        <v>145</v>
      </c>
      <c r="H222" s="35" t="s">
        <v>129</v>
      </c>
      <c r="I222" s="30" t="s">
        <v>121</v>
      </c>
      <c r="J222" s="30">
        <v>2</v>
      </c>
      <c r="K222" s="30" t="s">
        <v>35</v>
      </c>
      <c r="L222" s="30" t="s">
        <v>891</v>
      </c>
      <c r="M222" s="30" t="s">
        <v>108</v>
      </c>
    </row>
    <row r="223" spans="4:13" ht="15" customHeight="1">
      <c r="D223" s="30" t="s">
        <v>186</v>
      </c>
      <c r="E223" s="30" t="s">
        <v>122</v>
      </c>
      <c r="F223" s="35" t="s">
        <v>188</v>
      </c>
      <c r="I223" s="30" t="s">
        <v>124</v>
      </c>
      <c r="J223" s="30">
        <v>5</v>
      </c>
      <c r="K223" s="30" t="s">
        <v>35</v>
      </c>
      <c r="L223" s="30" t="s">
        <v>107</v>
      </c>
      <c r="M223" s="30" t="s">
        <v>108</v>
      </c>
    </row>
    <row r="224" spans="4:13" ht="15" customHeight="1">
      <c r="D224" s="30" t="s">
        <v>186</v>
      </c>
      <c r="E224" s="30" t="s">
        <v>104</v>
      </c>
      <c r="F224" s="35" t="s">
        <v>141</v>
      </c>
      <c r="I224" s="30" t="s">
        <v>106</v>
      </c>
      <c r="J224" s="30" t="s">
        <v>107</v>
      </c>
      <c r="K224" s="30" t="s">
        <v>35</v>
      </c>
      <c r="L224" s="30" t="s">
        <v>107</v>
      </c>
      <c r="M224" s="30" t="s">
        <v>108</v>
      </c>
    </row>
    <row r="225" spans="4:13" ht="15" customHeight="1">
      <c r="D225" s="30" t="s">
        <v>189</v>
      </c>
      <c r="E225" s="30" t="s">
        <v>109</v>
      </c>
      <c r="F225" s="35" t="s">
        <v>110</v>
      </c>
      <c r="I225" s="30" t="s">
        <v>111</v>
      </c>
      <c r="J225" s="30">
        <v>2</v>
      </c>
      <c r="K225" s="30" t="s">
        <v>35</v>
      </c>
      <c r="L225" s="30" t="s">
        <v>107</v>
      </c>
      <c r="M225" s="30" t="s">
        <v>108</v>
      </c>
    </row>
    <row r="226" spans="4:13" ht="15" customHeight="1">
      <c r="D226" s="30" t="s">
        <v>189</v>
      </c>
      <c r="E226" s="30" t="s">
        <v>118</v>
      </c>
      <c r="G226" s="35" t="s">
        <v>129</v>
      </c>
      <c r="H226" s="35" t="s">
        <v>130</v>
      </c>
      <c r="I226" s="30" t="s">
        <v>121</v>
      </c>
      <c r="J226" s="30">
        <v>2</v>
      </c>
      <c r="K226" s="30" t="s">
        <v>35</v>
      </c>
      <c r="L226" s="30" t="s">
        <v>891</v>
      </c>
      <c r="M226" s="30" t="s">
        <v>108</v>
      </c>
    </row>
    <row r="227" spans="4:13" ht="15" customHeight="1">
      <c r="D227" s="30" t="s">
        <v>189</v>
      </c>
      <c r="E227" s="30" t="s">
        <v>122</v>
      </c>
      <c r="F227" s="35" t="s">
        <v>136</v>
      </c>
      <c r="I227" s="30" t="s">
        <v>124</v>
      </c>
      <c r="J227" s="30">
        <v>5</v>
      </c>
      <c r="K227" s="30" t="s">
        <v>35</v>
      </c>
      <c r="L227" s="30" t="s">
        <v>107</v>
      </c>
      <c r="M227" s="30" t="s">
        <v>108</v>
      </c>
    </row>
    <row r="228" spans="4:13" ht="15" customHeight="1">
      <c r="D228" s="30" t="s">
        <v>189</v>
      </c>
      <c r="E228" s="30" t="s">
        <v>104</v>
      </c>
      <c r="F228" s="35" t="s">
        <v>174</v>
      </c>
      <c r="I228" s="30" t="s">
        <v>106</v>
      </c>
      <c r="J228" s="30" t="s">
        <v>107</v>
      </c>
      <c r="K228" s="30" t="s">
        <v>35</v>
      </c>
      <c r="L228" s="30" t="s">
        <v>107</v>
      </c>
      <c r="M228" s="30" t="s">
        <v>108</v>
      </c>
    </row>
    <row r="229" spans="4:13" ht="15" customHeight="1">
      <c r="D229" s="30" t="s">
        <v>190</v>
      </c>
      <c r="E229" s="30" t="s">
        <v>109</v>
      </c>
      <c r="F229" s="35" t="s">
        <v>110</v>
      </c>
      <c r="I229" s="30" t="s">
        <v>111</v>
      </c>
      <c r="J229" s="30">
        <v>2</v>
      </c>
      <c r="K229" s="30" t="s">
        <v>35</v>
      </c>
      <c r="L229" s="30" t="s">
        <v>107</v>
      </c>
      <c r="M229" s="30" t="s">
        <v>108</v>
      </c>
    </row>
    <row r="230" spans="4:13" ht="15" customHeight="1">
      <c r="D230" s="30" t="s">
        <v>190</v>
      </c>
      <c r="E230" s="30" t="s">
        <v>118</v>
      </c>
      <c r="G230" s="35" t="s">
        <v>129</v>
      </c>
      <c r="H230" s="35" t="s">
        <v>130</v>
      </c>
      <c r="I230" s="30" t="s">
        <v>121</v>
      </c>
      <c r="J230" s="30">
        <v>2</v>
      </c>
      <c r="K230" s="30" t="s">
        <v>35</v>
      </c>
      <c r="L230" s="30" t="s">
        <v>891</v>
      </c>
      <c r="M230" s="30" t="s">
        <v>108</v>
      </c>
    </row>
    <row r="231" spans="4:13" ht="15" customHeight="1">
      <c r="D231" s="30" t="s">
        <v>190</v>
      </c>
      <c r="E231" s="30" t="s">
        <v>122</v>
      </c>
      <c r="F231" s="35" t="s">
        <v>172</v>
      </c>
      <c r="I231" s="30" t="s">
        <v>124</v>
      </c>
      <c r="J231" s="30">
        <v>5</v>
      </c>
      <c r="K231" s="30" t="s">
        <v>35</v>
      </c>
      <c r="L231" s="30" t="s">
        <v>107</v>
      </c>
      <c r="M231" s="30" t="s">
        <v>108</v>
      </c>
    </row>
    <row r="232" spans="4:13" ht="15" customHeight="1">
      <c r="D232" s="30" t="s">
        <v>190</v>
      </c>
      <c r="E232" s="30" t="s">
        <v>104</v>
      </c>
      <c r="F232" s="35" t="s">
        <v>191</v>
      </c>
      <c r="I232" s="30" t="s">
        <v>106</v>
      </c>
      <c r="J232" s="30" t="s">
        <v>107</v>
      </c>
      <c r="K232" s="30" t="s">
        <v>35</v>
      </c>
      <c r="L232" s="30" t="s">
        <v>107</v>
      </c>
      <c r="M232" s="30" t="s">
        <v>108</v>
      </c>
    </row>
    <row r="233" spans="4:13" ht="15" customHeight="1">
      <c r="D233" s="30" t="s">
        <v>192</v>
      </c>
      <c r="E233" s="30" t="s">
        <v>109</v>
      </c>
      <c r="F233" s="35" t="s">
        <v>110</v>
      </c>
      <c r="I233" s="30" t="s">
        <v>111</v>
      </c>
      <c r="J233" s="30">
        <v>2</v>
      </c>
      <c r="K233" s="30" t="s">
        <v>35</v>
      </c>
      <c r="L233" s="30" t="s">
        <v>107</v>
      </c>
      <c r="M233" s="30" t="s">
        <v>108</v>
      </c>
    </row>
    <row r="234" spans="4:13" ht="15" customHeight="1">
      <c r="D234" s="30" t="s">
        <v>192</v>
      </c>
      <c r="E234" s="30" t="s">
        <v>131</v>
      </c>
      <c r="G234" s="35" t="s">
        <v>162</v>
      </c>
      <c r="H234" s="35" t="s">
        <v>163</v>
      </c>
      <c r="I234" s="30" t="s">
        <v>134</v>
      </c>
      <c r="J234" s="30">
        <v>5</v>
      </c>
      <c r="K234" s="30" t="s">
        <v>35</v>
      </c>
      <c r="L234" s="30" t="s">
        <v>135</v>
      </c>
      <c r="M234" s="30" t="s">
        <v>108</v>
      </c>
    </row>
    <row r="235" spans="4:13" ht="15" customHeight="1">
      <c r="D235" s="30" t="s">
        <v>192</v>
      </c>
      <c r="E235" s="30" t="s">
        <v>118</v>
      </c>
      <c r="G235" s="35" t="s">
        <v>129</v>
      </c>
      <c r="H235" s="35" t="s">
        <v>130</v>
      </c>
      <c r="I235" s="30" t="s">
        <v>121</v>
      </c>
      <c r="J235" s="30">
        <v>2</v>
      </c>
      <c r="K235" s="30" t="s">
        <v>35</v>
      </c>
      <c r="L235" s="30" t="s">
        <v>891</v>
      </c>
      <c r="M235" s="30" t="s">
        <v>108</v>
      </c>
    </row>
    <row r="236" spans="4:13" ht="15" customHeight="1">
      <c r="D236" s="30" t="s">
        <v>192</v>
      </c>
      <c r="E236" s="30" t="s">
        <v>122</v>
      </c>
      <c r="F236" s="35" t="s">
        <v>183</v>
      </c>
      <c r="I236" s="30" t="s">
        <v>124</v>
      </c>
      <c r="J236" s="30">
        <v>5</v>
      </c>
      <c r="K236" s="30" t="s">
        <v>35</v>
      </c>
      <c r="L236" s="30" t="s">
        <v>107</v>
      </c>
      <c r="M236" s="30" t="s">
        <v>108</v>
      </c>
    </row>
    <row r="237" spans="4:13" ht="15" customHeight="1">
      <c r="D237" s="30" t="s">
        <v>192</v>
      </c>
      <c r="E237" s="30" t="s">
        <v>104</v>
      </c>
      <c r="F237" s="35" t="s">
        <v>193</v>
      </c>
      <c r="I237" s="30" t="s">
        <v>106</v>
      </c>
      <c r="J237" s="30" t="s">
        <v>107</v>
      </c>
      <c r="K237" s="30" t="s">
        <v>35</v>
      </c>
      <c r="L237" s="30" t="s">
        <v>107</v>
      </c>
      <c r="M237" s="30" t="s">
        <v>108</v>
      </c>
    </row>
    <row r="238" spans="4:13" ht="15" customHeight="1">
      <c r="D238" s="30" t="s">
        <v>539</v>
      </c>
      <c r="E238" s="30" t="s">
        <v>109</v>
      </c>
      <c r="F238" s="35" t="s">
        <v>110</v>
      </c>
      <c r="I238" s="30" t="s">
        <v>111</v>
      </c>
      <c r="J238" s="30">
        <v>2</v>
      </c>
      <c r="K238" s="30" t="s">
        <v>35</v>
      </c>
      <c r="L238" s="30" t="s">
        <v>107</v>
      </c>
      <c r="M238" s="30" t="s">
        <v>108</v>
      </c>
    </row>
    <row r="239" spans="4:13" ht="15" customHeight="1">
      <c r="D239" s="30" t="s">
        <v>539</v>
      </c>
      <c r="E239" s="30" t="s">
        <v>118</v>
      </c>
      <c r="G239" s="35" t="s">
        <v>119</v>
      </c>
      <c r="H239" s="35" t="s">
        <v>120</v>
      </c>
      <c r="I239" s="30" t="s">
        <v>121</v>
      </c>
      <c r="J239" s="30">
        <v>2</v>
      </c>
      <c r="K239" s="30" t="s">
        <v>35</v>
      </c>
      <c r="L239" s="30" t="s">
        <v>891</v>
      </c>
      <c r="M239" s="30" t="s">
        <v>108</v>
      </c>
    </row>
    <row r="240" spans="4:13" ht="15" customHeight="1">
      <c r="D240" s="30" t="s">
        <v>539</v>
      </c>
      <c r="E240" s="30" t="s">
        <v>122</v>
      </c>
      <c r="F240" s="35" t="s">
        <v>204</v>
      </c>
      <c r="I240" s="30" t="s">
        <v>124</v>
      </c>
      <c r="J240" s="30">
        <v>5</v>
      </c>
      <c r="K240" s="30" t="s">
        <v>35</v>
      </c>
      <c r="L240" s="30" t="s">
        <v>107</v>
      </c>
      <c r="M240" s="30" t="s">
        <v>108</v>
      </c>
    </row>
    <row r="241" spans="4:14" ht="15" customHeight="1">
      <c r="D241" s="30" t="s">
        <v>539</v>
      </c>
      <c r="E241" s="30" t="s">
        <v>104</v>
      </c>
      <c r="F241" s="35" t="s">
        <v>117</v>
      </c>
      <c r="I241" s="30" t="s">
        <v>106</v>
      </c>
      <c r="J241" s="30" t="s">
        <v>107</v>
      </c>
      <c r="K241" s="30" t="s">
        <v>35</v>
      </c>
      <c r="L241" s="30" t="s">
        <v>107</v>
      </c>
      <c r="M241" s="30" t="s">
        <v>108</v>
      </c>
    </row>
    <row r="242" spans="4:14" ht="15" customHeight="1">
      <c r="D242" s="30" t="s">
        <v>194</v>
      </c>
      <c r="E242" s="30" t="s">
        <v>109</v>
      </c>
      <c r="F242" s="35" t="s">
        <v>110</v>
      </c>
      <c r="I242" s="30" t="s">
        <v>111</v>
      </c>
      <c r="J242" s="30">
        <v>2</v>
      </c>
      <c r="K242" s="30" t="s">
        <v>35</v>
      </c>
      <c r="L242" s="30" t="s">
        <v>107</v>
      </c>
      <c r="M242" s="30" t="s">
        <v>108</v>
      </c>
    </row>
    <row r="243" spans="4:14" ht="15" customHeight="1">
      <c r="D243" s="30" t="s">
        <v>194</v>
      </c>
      <c r="E243" s="30" t="s">
        <v>131</v>
      </c>
      <c r="G243" s="35" t="s">
        <v>162</v>
      </c>
      <c r="H243" s="35" t="s">
        <v>175</v>
      </c>
      <c r="I243" s="30" t="s">
        <v>134</v>
      </c>
      <c r="J243" s="30">
        <v>5</v>
      </c>
      <c r="K243" s="30" t="s">
        <v>35</v>
      </c>
      <c r="L243" s="30" t="s">
        <v>135</v>
      </c>
      <c r="M243" s="30" t="s">
        <v>108</v>
      </c>
    </row>
    <row r="244" spans="4:14" ht="15" customHeight="1">
      <c r="D244" s="30" t="s">
        <v>194</v>
      </c>
      <c r="E244" s="30" t="s">
        <v>118</v>
      </c>
      <c r="G244" s="35" t="s">
        <v>195</v>
      </c>
      <c r="H244" s="35" t="s">
        <v>119</v>
      </c>
      <c r="I244" s="30" t="s">
        <v>121</v>
      </c>
      <c r="J244" s="30">
        <v>2</v>
      </c>
      <c r="K244" s="30" t="s">
        <v>35</v>
      </c>
      <c r="L244" s="30" t="s">
        <v>891</v>
      </c>
      <c r="M244" s="30" t="s">
        <v>108</v>
      </c>
    </row>
    <row r="245" spans="4:14" ht="15" customHeight="1">
      <c r="D245" s="30" t="s">
        <v>194</v>
      </c>
      <c r="E245" s="30" t="s">
        <v>104</v>
      </c>
      <c r="F245" s="35" t="s">
        <v>159</v>
      </c>
      <c r="I245" s="30" t="s">
        <v>106</v>
      </c>
      <c r="J245" s="30" t="s">
        <v>107</v>
      </c>
      <c r="K245" s="30" t="s">
        <v>35</v>
      </c>
      <c r="L245" s="30" t="s">
        <v>107</v>
      </c>
      <c r="M245" s="30" t="s">
        <v>108</v>
      </c>
    </row>
    <row r="246" spans="4:14" ht="15" customHeight="1">
      <c r="D246" s="30" t="s">
        <v>196</v>
      </c>
      <c r="E246" s="30" t="s">
        <v>109</v>
      </c>
      <c r="F246" s="35" t="s">
        <v>110</v>
      </c>
      <c r="I246" s="30" t="s">
        <v>111</v>
      </c>
      <c r="J246" s="30">
        <v>2</v>
      </c>
      <c r="K246" s="30" t="s">
        <v>35</v>
      </c>
      <c r="L246" s="30" t="s">
        <v>107</v>
      </c>
      <c r="M246" s="30" t="s">
        <v>108</v>
      </c>
    </row>
    <row r="247" spans="4:14" ht="15" customHeight="1">
      <c r="D247" s="30" t="s">
        <v>196</v>
      </c>
      <c r="E247" s="30" t="s">
        <v>131</v>
      </c>
      <c r="G247" s="35" t="s">
        <v>162</v>
      </c>
      <c r="H247" s="35" t="s">
        <v>150</v>
      </c>
      <c r="I247" s="30" t="s">
        <v>134</v>
      </c>
      <c r="J247" s="30">
        <v>5</v>
      </c>
      <c r="K247" s="30" t="s">
        <v>35</v>
      </c>
      <c r="L247" s="30" t="s">
        <v>135</v>
      </c>
      <c r="M247" s="30" t="s">
        <v>108</v>
      </c>
    </row>
    <row r="248" spans="4:14" ht="15" customHeight="1">
      <c r="D248" s="30" t="s">
        <v>196</v>
      </c>
      <c r="E248" s="30" t="s">
        <v>118</v>
      </c>
      <c r="G248" s="35" t="s">
        <v>195</v>
      </c>
      <c r="H248" s="35" t="s">
        <v>119</v>
      </c>
      <c r="I248" s="30" t="s">
        <v>121</v>
      </c>
      <c r="J248" s="30">
        <v>2</v>
      </c>
      <c r="K248" s="30" t="s">
        <v>35</v>
      </c>
      <c r="L248" s="30" t="s">
        <v>891</v>
      </c>
      <c r="M248" s="30" t="s">
        <v>108</v>
      </c>
    </row>
    <row r="249" spans="4:14" ht="15" customHeight="1">
      <c r="D249" s="30" t="s">
        <v>196</v>
      </c>
      <c r="E249" s="30" t="s">
        <v>122</v>
      </c>
      <c r="F249" s="35" t="s">
        <v>197</v>
      </c>
      <c r="I249" s="30" t="s">
        <v>124</v>
      </c>
      <c r="J249" s="30">
        <v>5</v>
      </c>
      <c r="K249" s="30" t="s">
        <v>35</v>
      </c>
      <c r="L249" s="30" t="s">
        <v>107</v>
      </c>
      <c r="M249" s="30" t="s">
        <v>108</v>
      </c>
    </row>
    <row r="250" spans="4:14" ht="15" customHeight="1">
      <c r="D250" s="30" t="s">
        <v>196</v>
      </c>
      <c r="E250" s="30" t="s">
        <v>104</v>
      </c>
      <c r="F250" s="35" t="s">
        <v>159</v>
      </c>
      <c r="I250" s="30" t="s">
        <v>106</v>
      </c>
      <c r="J250" s="30" t="s">
        <v>107</v>
      </c>
      <c r="K250" s="30" t="s">
        <v>35</v>
      </c>
      <c r="L250" s="30" t="s">
        <v>107</v>
      </c>
      <c r="M250" s="30" t="s">
        <v>108</v>
      </c>
    </row>
    <row r="251" spans="4:14" ht="15" customHeight="1">
      <c r="D251" s="30" t="s">
        <v>198</v>
      </c>
      <c r="E251" s="30" t="s">
        <v>109</v>
      </c>
      <c r="F251" s="35" t="s">
        <v>110</v>
      </c>
      <c r="I251" s="30" t="s">
        <v>111</v>
      </c>
      <c r="J251" s="30">
        <v>2</v>
      </c>
      <c r="K251" s="30" t="s">
        <v>35</v>
      </c>
      <c r="L251" s="30" t="s">
        <v>107</v>
      </c>
      <c r="M251" s="30" t="s">
        <v>108</v>
      </c>
    </row>
    <row r="252" spans="4:14" ht="15" customHeight="1">
      <c r="D252" s="30" t="s">
        <v>198</v>
      </c>
      <c r="E252" s="30" t="s">
        <v>131</v>
      </c>
      <c r="G252" s="35" t="s">
        <v>187</v>
      </c>
      <c r="H252" s="35" t="s">
        <v>163</v>
      </c>
      <c r="I252" s="30" t="s">
        <v>134</v>
      </c>
      <c r="J252" s="30">
        <v>5</v>
      </c>
      <c r="K252" s="30" t="s">
        <v>35</v>
      </c>
      <c r="L252" s="30" t="s">
        <v>135</v>
      </c>
      <c r="M252" s="30" t="s">
        <v>108</v>
      </c>
    </row>
    <row r="253" spans="4:14" ht="15" customHeight="1">
      <c r="D253" s="30" t="s">
        <v>198</v>
      </c>
      <c r="E253" s="30" t="s">
        <v>118</v>
      </c>
      <c r="G253" s="35" t="s">
        <v>142</v>
      </c>
      <c r="H253" s="35" t="s">
        <v>129</v>
      </c>
      <c r="I253" s="30" t="s">
        <v>121</v>
      </c>
      <c r="J253" s="30">
        <v>2</v>
      </c>
      <c r="K253" s="30" t="s">
        <v>35</v>
      </c>
      <c r="L253" s="30" t="s">
        <v>891</v>
      </c>
      <c r="M253" s="30" t="s">
        <v>108</v>
      </c>
    </row>
    <row r="254" spans="4:14" ht="14.25" customHeight="1">
      <c r="D254" s="30" t="s">
        <v>198</v>
      </c>
      <c r="E254" s="30" t="s">
        <v>122</v>
      </c>
      <c r="F254" s="35" t="s">
        <v>169</v>
      </c>
      <c r="I254" s="30" t="s">
        <v>124</v>
      </c>
      <c r="J254" s="30">
        <v>5</v>
      </c>
      <c r="K254" s="30" t="s">
        <v>35</v>
      </c>
      <c r="L254" s="30" t="s">
        <v>107</v>
      </c>
      <c r="M254" s="30" t="s">
        <v>108</v>
      </c>
    </row>
    <row r="255" spans="4:14" ht="15" customHeight="1">
      <c r="D255" s="30" t="s">
        <v>198</v>
      </c>
      <c r="E255" s="30" t="s">
        <v>104</v>
      </c>
      <c r="F255" s="35" t="s">
        <v>199</v>
      </c>
      <c r="I255" s="30" t="s">
        <v>106</v>
      </c>
      <c r="J255" s="30" t="s">
        <v>107</v>
      </c>
      <c r="K255" s="30" t="s">
        <v>35</v>
      </c>
      <c r="L255" s="30" t="s">
        <v>107</v>
      </c>
      <c r="M255" s="30" t="s">
        <v>108</v>
      </c>
      <c r="N255" s="96"/>
    </row>
    <row r="256" spans="4:14" ht="15" customHeight="1">
      <c r="D256" s="30" t="s">
        <v>200</v>
      </c>
      <c r="E256" s="30" t="s">
        <v>109</v>
      </c>
      <c r="F256" s="35" t="s">
        <v>110</v>
      </c>
      <c r="I256" s="30" t="s">
        <v>111</v>
      </c>
      <c r="J256" s="30">
        <v>2</v>
      </c>
      <c r="K256" s="30" t="s">
        <v>35</v>
      </c>
      <c r="L256" s="30" t="s">
        <v>107</v>
      </c>
      <c r="M256" s="30" t="s">
        <v>108</v>
      </c>
    </row>
    <row r="257" spans="4:13" ht="15" customHeight="1">
      <c r="D257" s="30" t="s">
        <v>200</v>
      </c>
      <c r="E257" s="30" t="s">
        <v>118</v>
      </c>
      <c r="G257" s="35" t="s">
        <v>142</v>
      </c>
      <c r="H257" s="35" t="s">
        <v>129</v>
      </c>
      <c r="I257" s="30" t="s">
        <v>121</v>
      </c>
      <c r="J257" s="30">
        <v>2</v>
      </c>
      <c r="K257" s="30" t="s">
        <v>35</v>
      </c>
      <c r="L257" s="30" t="s">
        <v>891</v>
      </c>
      <c r="M257" s="30" t="s">
        <v>108</v>
      </c>
    </row>
    <row r="258" spans="4:13" ht="15" customHeight="1">
      <c r="D258" s="30" t="s">
        <v>200</v>
      </c>
      <c r="E258" s="30" t="s">
        <v>122</v>
      </c>
      <c r="F258" s="35" t="s">
        <v>169</v>
      </c>
      <c r="I258" s="30" t="s">
        <v>124</v>
      </c>
      <c r="J258" s="30">
        <v>5</v>
      </c>
      <c r="K258" s="30" t="s">
        <v>35</v>
      </c>
      <c r="L258" s="30" t="s">
        <v>107</v>
      </c>
      <c r="M258" s="30" t="s">
        <v>108</v>
      </c>
    </row>
    <row r="259" spans="4:13" ht="15" customHeight="1">
      <c r="D259" s="30" t="s">
        <v>200</v>
      </c>
      <c r="E259" s="30" t="s">
        <v>104</v>
      </c>
      <c r="F259" s="35" t="s">
        <v>201</v>
      </c>
      <c r="I259" s="30" t="s">
        <v>106</v>
      </c>
      <c r="J259" s="30" t="s">
        <v>107</v>
      </c>
      <c r="K259" s="30" t="s">
        <v>35</v>
      </c>
      <c r="L259" s="30" t="s">
        <v>107</v>
      </c>
      <c r="M259" s="30" t="s">
        <v>108</v>
      </c>
    </row>
    <row r="260" spans="4:13" ht="15" customHeight="1">
      <c r="D260" s="30" t="s">
        <v>653</v>
      </c>
      <c r="E260" s="30" t="s">
        <v>109</v>
      </c>
      <c r="F260" s="35" t="s">
        <v>110</v>
      </c>
      <c r="I260" s="30" t="s">
        <v>111</v>
      </c>
      <c r="J260" s="30">
        <v>2</v>
      </c>
      <c r="K260" s="30" t="s">
        <v>35</v>
      </c>
      <c r="L260" s="30" t="s">
        <v>107</v>
      </c>
      <c r="M260" s="30" t="s">
        <v>108</v>
      </c>
    </row>
    <row r="261" spans="4:13" ht="15" customHeight="1">
      <c r="D261" s="30" t="s">
        <v>653</v>
      </c>
      <c r="E261" s="30" t="s">
        <v>118</v>
      </c>
      <c r="G261" s="35" t="s">
        <v>142</v>
      </c>
      <c r="H261" s="35" t="s">
        <v>129</v>
      </c>
      <c r="I261" s="30" t="s">
        <v>121</v>
      </c>
      <c r="J261" s="30">
        <v>2</v>
      </c>
      <c r="K261" s="30" t="s">
        <v>35</v>
      </c>
      <c r="L261" s="30" t="s">
        <v>891</v>
      </c>
      <c r="M261" s="30" t="s">
        <v>108</v>
      </c>
    </row>
    <row r="262" spans="4:13" ht="15" customHeight="1">
      <c r="D262" s="30" t="s">
        <v>653</v>
      </c>
      <c r="E262" s="30" t="s">
        <v>122</v>
      </c>
      <c r="F262" s="35" t="s">
        <v>183</v>
      </c>
      <c r="I262" s="30" t="s">
        <v>124</v>
      </c>
      <c r="J262" s="30">
        <v>5</v>
      </c>
      <c r="K262" s="30" t="s">
        <v>35</v>
      </c>
      <c r="L262" s="30" t="s">
        <v>107</v>
      </c>
      <c r="M262" s="30" t="s">
        <v>108</v>
      </c>
    </row>
    <row r="263" spans="4:13" ht="15" customHeight="1">
      <c r="D263" s="30" t="s">
        <v>653</v>
      </c>
      <c r="E263" s="30" t="s">
        <v>104</v>
      </c>
      <c r="F263" s="30" t="s">
        <v>654</v>
      </c>
      <c r="I263" s="30" t="s">
        <v>106</v>
      </c>
      <c r="J263" s="30">
        <v>2</v>
      </c>
      <c r="K263" s="30" t="s">
        <v>35</v>
      </c>
      <c r="L263" s="30" t="s">
        <v>107</v>
      </c>
      <c r="M263" s="30" t="s">
        <v>108</v>
      </c>
    </row>
    <row r="264" spans="4:13" ht="15" customHeight="1">
      <c r="D264" s="30" t="s">
        <v>686</v>
      </c>
      <c r="E264" s="30" t="s">
        <v>109</v>
      </c>
      <c r="F264" s="35" t="s">
        <v>110</v>
      </c>
      <c r="I264" s="30" t="s">
        <v>111</v>
      </c>
      <c r="J264" s="30">
        <v>2</v>
      </c>
      <c r="K264" s="30" t="s">
        <v>35</v>
      </c>
      <c r="L264" s="30" t="s">
        <v>107</v>
      </c>
      <c r="M264" s="30" t="s">
        <v>108</v>
      </c>
    </row>
    <row r="265" spans="4:13" ht="15" customHeight="1">
      <c r="D265" s="30" t="s">
        <v>686</v>
      </c>
      <c r="E265" s="30" t="s">
        <v>118</v>
      </c>
      <c r="G265" s="35" t="s">
        <v>129</v>
      </c>
      <c r="H265" s="35" t="s">
        <v>130</v>
      </c>
      <c r="I265" s="30" t="s">
        <v>121</v>
      </c>
      <c r="J265" s="30">
        <v>2</v>
      </c>
      <c r="K265" s="30" t="s">
        <v>35</v>
      </c>
      <c r="L265" s="30" t="s">
        <v>891</v>
      </c>
      <c r="M265" s="30" t="s">
        <v>108</v>
      </c>
    </row>
    <row r="266" spans="4:13" ht="15" customHeight="1">
      <c r="D266" s="30" t="s">
        <v>686</v>
      </c>
      <c r="E266" s="30" t="s">
        <v>122</v>
      </c>
      <c r="F266" s="35" t="s">
        <v>687</v>
      </c>
      <c r="I266" s="30" t="s">
        <v>124</v>
      </c>
      <c r="J266" s="30">
        <v>5</v>
      </c>
      <c r="K266" s="30" t="s">
        <v>35</v>
      </c>
      <c r="L266" s="30" t="s">
        <v>107</v>
      </c>
      <c r="M266" s="30" t="s">
        <v>108</v>
      </c>
    </row>
    <row r="267" spans="4:13" ht="15" customHeight="1">
      <c r="D267" s="30" t="s">
        <v>686</v>
      </c>
      <c r="E267" s="30" t="s">
        <v>104</v>
      </c>
      <c r="F267" s="30" t="s">
        <v>144</v>
      </c>
      <c r="I267" s="30" t="s">
        <v>106</v>
      </c>
      <c r="J267" s="30">
        <v>2</v>
      </c>
      <c r="K267" s="30" t="s">
        <v>35</v>
      </c>
      <c r="L267" s="30" t="s">
        <v>107</v>
      </c>
      <c r="M267" s="30" t="s">
        <v>108</v>
      </c>
    </row>
    <row r="268" spans="4:13" ht="15" customHeight="1">
      <c r="D268" s="30" t="s">
        <v>203</v>
      </c>
      <c r="E268" s="30" t="s">
        <v>109</v>
      </c>
      <c r="F268" s="35" t="s">
        <v>110</v>
      </c>
      <c r="I268" s="30" t="s">
        <v>111</v>
      </c>
      <c r="J268" s="30">
        <v>2</v>
      </c>
      <c r="K268" s="30" t="s">
        <v>35</v>
      </c>
      <c r="L268" s="30" t="s">
        <v>107</v>
      </c>
      <c r="M268" s="30" t="s">
        <v>108</v>
      </c>
    </row>
    <row r="269" spans="4:13" ht="15" customHeight="1">
      <c r="D269" s="30" t="s">
        <v>203</v>
      </c>
      <c r="E269" s="30" t="s">
        <v>118</v>
      </c>
      <c r="G269" s="35" t="s">
        <v>129</v>
      </c>
      <c r="H269" s="35" t="s">
        <v>130</v>
      </c>
      <c r="I269" s="30" t="s">
        <v>121</v>
      </c>
      <c r="J269" s="30">
        <v>2</v>
      </c>
      <c r="K269" s="30" t="s">
        <v>35</v>
      </c>
      <c r="L269" s="30" t="s">
        <v>891</v>
      </c>
      <c r="M269" s="30" t="s">
        <v>108</v>
      </c>
    </row>
    <row r="270" spans="4:13" ht="15" customHeight="1">
      <c r="D270" s="30" t="s">
        <v>203</v>
      </c>
      <c r="E270" s="30" t="s">
        <v>122</v>
      </c>
      <c r="F270" s="35" t="s">
        <v>204</v>
      </c>
      <c r="I270" s="30" t="s">
        <v>124</v>
      </c>
      <c r="J270" s="30">
        <v>5</v>
      </c>
      <c r="K270" s="30" t="s">
        <v>35</v>
      </c>
      <c r="L270" s="30" t="s">
        <v>107</v>
      </c>
      <c r="M270" s="30" t="s">
        <v>108</v>
      </c>
    </row>
    <row r="271" spans="4:13" ht="15" customHeight="1">
      <c r="D271" s="30" t="s">
        <v>203</v>
      </c>
      <c r="E271" s="30" t="s">
        <v>104</v>
      </c>
      <c r="F271" s="35" t="s">
        <v>141</v>
      </c>
      <c r="I271" s="30" t="s">
        <v>106</v>
      </c>
      <c r="J271" s="30" t="s">
        <v>107</v>
      </c>
      <c r="K271" s="30" t="s">
        <v>35</v>
      </c>
      <c r="L271" s="30" t="s">
        <v>107</v>
      </c>
      <c r="M271" s="30" t="s">
        <v>108</v>
      </c>
    </row>
    <row r="272" spans="4:13" ht="15" customHeight="1">
      <c r="D272" s="30" t="s">
        <v>205</v>
      </c>
      <c r="E272" s="30" t="s">
        <v>109</v>
      </c>
      <c r="F272" s="35" t="s">
        <v>110</v>
      </c>
      <c r="I272" s="30" t="s">
        <v>111</v>
      </c>
      <c r="J272" s="30">
        <v>2</v>
      </c>
      <c r="K272" s="30" t="s">
        <v>35</v>
      </c>
      <c r="L272" s="30" t="s">
        <v>107</v>
      </c>
      <c r="M272" s="30" t="s">
        <v>108</v>
      </c>
    </row>
    <row r="273" spans="4:13" ht="15" customHeight="1">
      <c r="D273" s="30" t="s">
        <v>205</v>
      </c>
      <c r="E273" s="30" t="s">
        <v>131</v>
      </c>
      <c r="G273" s="35" t="s">
        <v>150</v>
      </c>
      <c r="H273" s="35" t="s">
        <v>133</v>
      </c>
      <c r="I273" s="30" t="s">
        <v>134</v>
      </c>
      <c r="J273" s="30">
        <v>5</v>
      </c>
      <c r="K273" s="30" t="s">
        <v>35</v>
      </c>
      <c r="L273" s="30" t="s">
        <v>135</v>
      </c>
      <c r="M273" s="30" t="s">
        <v>108</v>
      </c>
    </row>
    <row r="274" spans="4:13" ht="15" customHeight="1">
      <c r="D274" s="30" t="s">
        <v>205</v>
      </c>
      <c r="E274" s="30" t="s">
        <v>118</v>
      </c>
      <c r="G274" s="35" t="s">
        <v>129</v>
      </c>
      <c r="H274" s="35" t="s">
        <v>130</v>
      </c>
      <c r="I274" s="30" t="s">
        <v>121</v>
      </c>
      <c r="J274" s="30">
        <v>2</v>
      </c>
      <c r="K274" s="30" t="s">
        <v>35</v>
      </c>
      <c r="L274" s="30" t="s">
        <v>891</v>
      </c>
      <c r="M274" s="30" t="s">
        <v>108</v>
      </c>
    </row>
    <row r="275" spans="4:13" ht="15" customHeight="1">
      <c r="D275" s="30" t="s">
        <v>205</v>
      </c>
      <c r="E275" s="30" t="s">
        <v>122</v>
      </c>
      <c r="F275" s="35" t="s">
        <v>207</v>
      </c>
      <c r="I275" s="30" t="s">
        <v>124</v>
      </c>
      <c r="J275" s="30">
        <v>5</v>
      </c>
      <c r="K275" s="30" t="s">
        <v>35</v>
      </c>
      <c r="L275" s="30" t="s">
        <v>107</v>
      </c>
      <c r="M275" s="30" t="s">
        <v>108</v>
      </c>
    </row>
    <row r="276" spans="4:13" ht="15" customHeight="1">
      <c r="D276" s="30" t="s">
        <v>205</v>
      </c>
      <c r="E276" s="30" t="s">
        <v>104</v>
      </c>
      <c r="F276" s="35" t="s">
        <v>206</v>
      </c>
      <c r="I276" s="30" t="s">
        <v>106</v>
      </c>
      <c r="J276" s="30" t="s">
        <v>107</v>
      </c>
      <c r="K276" s="30" t="s">
        <v>35</v>
      </c>
      <c r="L276" s="30" t="s">
        <v>107</v>
      </c>
      <c r="M276" s="30" t="s">
        <v>108</v>
      </c>
    </row>
    <row r="277" spans="4:13" ht="15" customHeight="1">
      <c r="D277" s="30" t="s">
        <v>208</v>
      </c>
      <c r="E277" s="30" t="s">
        <v>109</v>
      </c>
      <c r="F277" s="35" t="s">
        <v>110</v>
      </c>
      <c r="I277" s="30" t="s">
        <v>111</v>
      </c>
      <c r="J277" s="30">
        <v>2</v>
      </c>
      <c r="K277" s="30" t="s">
        <v>35</v>
      </c>
      <c r="L277" s="30" t="s">
        <v>107</v>
      </c>
      <c r="M277" s="30" t="s">
        <v>108</v>
      </c>
    </row>
    <row r="278" spans="4:13" ht="15" customHeight="1">
      <c r="D278" s="30" t="s">
        <v>208</v>
      </c>
      <c r="E278" s="30" t="s">
        <v>131</v>
      </c>
      <c r="G278" s="35" t="s">
        <v>150</v>
      </c>
      <c r="H278" s="35" t="s">
        <v>185</v>
      </c>
      <c r="I278" s="30" t="s">
        <v>134</v>
      </c>
      <c r="J278" s="30">
        <v>5</v>
      </c>
      <c r="K278" s="30" t="s">
        <v>35</v>
      </c>
      <c r="L278" s="30" t="s">
        <v>135</v>
      </c>
      <c r="M278" s="30" t="s">
        <v>108</v>
      </c>
    </row>
    <row r="279" spans="4:13" ht="15" customHeight="1">
      <c r="D279" s="30" t="s">
        <v>208</v>
      </c>
      <c r="E279" s="30" t="s">
        <v>118</v>
      </c>
      <c r="G279" s="35" t="s">
        <v>129</v>
      </c>
      <c r="H279" s="35" t="s">
        <v>130</v>
      </c>
      <c r="I279" s="30" t="s">
        <v>121</v>
      </c>
      <c r="J279" s="30">
        <v>2</v>
      </c>
      <c r="K279" s="30" t="s">
        <v>35</v>
      </c>
      <c r="L279" s="30" t="s">
        <v>891</v>
      </c>
      <c r="M279" s="30" t="s">
        <v>108</v>
      </c>
    </row>
    <row r="280" spans="4:13" ht="15" customHeight="1">
      <c r="D280" s="30" t="s">
        <v>208</v>
      </c>
      <c r="E280" s="30" t="s">
        <v>122</v>
      </c>
      <c r="F280" s="35" t="s">
        <v>169</v>
      </c>
      <c r="I280" s="30" t="s">
        <v>124</v>
      </c>
      <c r="J280" s="30">
        <v>5</v>
      </c>
      <c r="K280" s="30" t="s">
        <v>35</v>
      </c>
      <c r="L280" s="30" t="s">
        <v>107</v>
      </c>
      <c r="M280" s="30" t="s">
        <v>108</v>
      </c>
    </row>
    <row r="281" spans="4:13" ht="15" customHeight="1">
      <c r="D281" s="30" t="s">
        <v>208</v>
      </c>
      <c r="E281" s="30" t="s">
        <v>104</v>
      </c>
      <c r="F281" s="35" t="s">
        <v>174</v>
      </c>
      <c r="I281" s="30" t="s">
        <v>106</v>
      </c>
      <c r="J281" s="30" t="s">
        <v>107</v>
      </c>
      <c r="K281" s="30" t="s">
        <v>35</v>
      </c>
      <c r="L281" s="30" t="s">
        <v>107</v>
      </c>
      <c r="M281" s="30" t="s">
        <v>108</v>
      </c>
    </row>
    <row r="282" spans="4:13" ht="15" customHeight="1">
      <c r="D282" s="30" t="s">
        <v>209</v>
      </c>
      <c r="E282" s="30" t="s">
        <v>109</v>
      </c>
      <c r="F282" s="35" t="s">
        <v>110</v>
      </c>
      <c r="I282" s="30" t="s">
        <v>111</v>
      </c>
      <c r="J282" s="30">
        <v>2</v>
      </c>
      <c r="K282" s="30" t="s">
        <v>35</v>
      </c>
      <c r="L282" s="30" t="s">
        <v>107</v>
      </c>
      <c r="M282" s="30" t="s">
        <v>108</v>
      </c>
    </row>
    <row r="283" spans="4:13" ht="15" customHeight="1">
      <c r="D283" s="30" t="s">
        <v>209</v>
      </c>
      <c r="E283" s="30" t="s">
        <v>104</v>
      </c>
      <c r="F283" s="35" t="s">
        <v>210</v>
      </c>
      <c r="I283" s="133" t="s">
        <v>111</v>
      </c>
      <c r="J283" s="95">
        <v>1</v>
      </c>
      <c r="K283" s="30" t="s">
        <v>35</v>
      </c>
      <c r="L283" s="30" t="s">
        <v>107</v>
      </c>
      <c r="M283" s="30" t="s">
        <v>108</v>
      </c>
    </row>
    <row r="284" spans="4:13" ht="15" customHeight="1">
      <c r="D284" s="30" t="s">
        <v>611</v>
      </c>
      <c r="E284" s="30" t="s">
        <v>109</v>
      </c>
      <c r="F284" s="35" t="s">
        <v>110</v>
      </c>
      <c r="I284" s="30" t="s">
        <v>111</v>
      </c>
      <c r="J284" s="30">
        <v>2</v>
      </c>
      <c r="K284" s="30" t="s">
        <v>35</v>
      </c>
      <c r="L284" s="30" t="s">
        <v>107</v>
      </c>
      <c r="M284" s="30" t="s">
        <v>108</v>
      </c>
    </row>
    <row r="285" spans="4:13" ht="15" customHeight="1">
      <c r="D285" s="30" t="s">
        <v>611</v>
      </c>
      <c r="E285" s="30" t="s">
        <v>118</v>
      </c>
      <c r="G285" s="35" t="s">
        <v>129</v>
      </c>
      <c r="H285" s="35" t="s">
        <v>130</v>
      </c>
      <c r="I285" s="30" t="s">
        <v>121</v>
      </c>
      <c r="J285" s="30">
        <v>2</v>
      </c>
      <c r="K285" s="30" t="s">
        <v>35</v>
      </c>
      <c r="L285" s="30" t="s">
        <v>891</v>
      </c>
      <c r="M285" s="30" t="s">
        <v>108</v>
      </c>
    </row>
    <row r="286" spans="4:13" ht="15" customHeight="1">
      <c r="D286" s="30" t="s">
        <v>611</v>
      </c>
      <c r="E286" s="30" t="s">
        <v>122</v>
      </c>
      <c r="F286" s="35" t="s">
        <v>204</v>
      </c>
      <c r="I286" s="30" t="s">
        <v>124</v>
      </c>
      <c r="J286" s="30">
        <v>5</v>
      </c>
      <c r="K286" s="30" t="s">
        <v>35</v>
      </c>
      <c r="L286" s="30" t="s">
        <v>107</v>
      </c>
      <c r="M286" s="30" t="s">
        <v>108</v>
      </c>
    </row>
    <row r="287" spans="4:13" ht="15" customHeight="1">
      <c r="D287" s="30" t="s">
        <v>611</v>
      </c>
      <c r="E287" s="30" t="s">
        <v>104</v>
      </c>
      <c r="F287" s="30" t="s">
        <v>612</v>
      </c>
      <c r="I287" s="30" t="s">
        <v>106</v>
      </c>
      <c r="J287" s="30" t="s">
        <v>107</v>
      </c>
      <c r="K287" s="30" t="s">
        <v>35</v>
      </c>
      <c r="L287" s="30" t="s">
        <v>107</v>
      </c>
      <c r="M287" s="30" t="s">
        <v>108</v>
      </c>
    </row>
    <row r="288" spans="4:13" ht="15" customHeight="1">
      <c r="D288" s="30" t="s">
        <v>587</v>
      </c>
      <c r="E288" s="30" t="s">
        <v>109</v>
      </c>
      <c r="F288" s="35" t="s">
        <v>110</v>
      </c>
      <c r="I288" s="30" t="s">
        <v>111</v>
      </c>
      <c r="J288" s="30">
        <v>2</v>
      </c>
      <c r="K288" s="30" t="s">
        <v>35</v>
      </c>
      <c r="L288" s="30" t="s">
        <v>107</v>
      </c>
      <c r="M288" s="30" t="s">
        <v>108</v>
      </c>
    </row>
    <row r="289" spans="4:13" ht="15" customHeight="1">
      <c r="D289" s="30" t="s">
        <v>587</v>
      </c>
      <c r="E289" s="30" t="s">
        <v>118</v>
      </c>
      <c r="G289" s="35" t="s">
        <v>119</v>
      </c>
      <c r="H289" s="35" t="s">
        <v>120</v>
      </c>
      <c r="I289" s="30" t="s">
        <v>121</v>
      </c>
      <c r="J289" s="30">
        <v>2</v>
      </c>
      <c r="K289" s="30" t="s">
        <v>35</v>
      </c>
      <c r="L289" s="30" t="s">
        <v>891</v>
      </c>
      <c r="M289" s="30" t="s">
        <v>108</v>
      </c>
    </row>
    <row r="290" spans="4:13" ht="15" customHeight="1">
      <c r="D290" s="30" t="s">
        <v>587</v>
      </c>
      <c r="E290" s="30" t="s">
        <v>122</v>
      </c>
      <c r="F290" s="35" t="s">
        <v>123</v>
      </c>
      <c r="I290" s="30" t="s">
        <v>124</v>
      </c>
      <c r="J290" s="30">
        <v>5</v>
      </c>
      <c r="K290" s="30" t="s">
        <v>35</v>
      </c>
      <c r="L290" s="30" t="s">
        <v>107</v>
      </c>
      <c r="M290" s="30" t="s">
        <v>108</v>
      </c>
    </row>
    <row r="291" spans="4:13" ht="15" customHeight="1">
      <c r="D291" s="30" t="s">
        <v>587</v>
      </c>
      <c r="E291" s="30" t="s">
        <v>104</v>
      </c>
      <c r="F291" s="30" t="s">
        <v>117</v>
      </c>
      <c r="I291" s="30" t="s">
        <v>106</v>
      </c>
      <c r="J291" s="30" t="s">
        <v>107</v>
      </c>
      <c r="K291" s="30" t="s">
        <v>35</v>
      </c>
      <c r="L291" s="30" t="s">
        <v>107</v>
      </c>
      <c r="M291" s="30" t="s">
        <v>108</v>
      </c>
    </row>
    <row r="292" spans="4:13" ht="15" customHeight="1">
      <c r="D292" s="30" t="s">
        <v>648</v>
      </c>
      <c r="E292" s="30" t="s">
        <v>109</v>
      </c>
      <c r="F292" s="35" t="s">
        <v>110</v>
      </c>
      <c r="I292" s="30" t="s">
        <v>111</v>
      </c>
      <c r="J292" s="30">
        <v>2</v>
      </c>
      <c r="K292" s="30" t="s">
        <v>35</v>
      </c>
      <c r="L292" s="30" t="s">
        <v>107</v>
      </c>
      <c r="M292" s="30" t="s">
        <v>108</v>
      </c>
    </row>
    <row r="293" spans="4:13" ht="15" customHeight="1">
      <c r="D293" s="30" t="s">
        <v>648</v>
      </c>
      <c r="E293" s="30" t="s">
        <v>118</v>
      </c>
      <c r="G293" s="35" t="s">
        <v>129</v>
      </c>
      <c r="H293" s="35" t="s">
        <v>130</v>
      </c>
      <c r="I293" s="30" t="s">
        <v>121</v>
      </c>
      <c r="J293" s="30">
        <v>2</v>
      </c>
      <c r="K293" s="30" t="s">
        <v>35</v>
      </c>
      <c r="L293" s="30" t="s">
        <v>891</v>
      </c>
      <c r="M293" s="30" t="s">
        <v>108</v>
      </c>
    </row>
    <row r="294" spans="4:13" ht="15" customHeight="1">
      <c r="D294" s="30" t="s">
        <v>648</v>
      </c>
      <c r="E294" s="30" t="s">
        <v>122</v>
      </c>
      <c r="F294" s="35" t="s">
        <v>649</v>
      </c>
      <c r="I294" s="30" t="s">
        <v>124</v>
      </c>
      <c r="J294" s="30">
        <v>5</v>
      </c>
      <c r="K294" s="30" t="s">
        <v>35</v>
      </c>
      <c r="L294" s="30" t="s">
        <v>107</v>
      </c>
      <c r="M294" s="30" t="s">
        <v>108</v>
      </c>
    </row>
    <row r="295" spans="4:13" ht="15" customHeight="1">
      <c r="D295" s="30" t="s">
        <v>648</v>
      </c>
      <c r="E295" s="30" t="s">
        <v>104</v>
      </c>
      <c r="F295" s="30" t="s">
        <v>144</v>
      </c>
      <c r="I295" s="30" t="s">
        <v>106</v>
      </c>
      <c r="J295" s="30">
        <v>2</v>
      </c>
      <c r="K295" s="30" t="s">
        <v>35</v>
      </c>
      <c r="L295" s="30" t="s">
        <v>107</v>
      </c>
      <c r="M295" s="30" t="s">
        <v>108</v>
      </c>
    </row>
    <row r="296" spans="4:13" ht="15" customHeight="1">
      <c r="D296" s="30" t="s">
        <v>213</v>
      </c>
      <c r="E296" s="30" t="s">
        <v>109</v>
      </c>
      <c r="F296" s="35" t="s">
        <v>110</v>
      </c>
      <c r="I296" s="30" t="s">
        <v>111</v>
      </c>
      <c r="J296" s="30">
        <v>2</v>
      </c>
      <c r="K296" s="30" t="s">
        <v>35</v>
      </c>
      <c r="L296" s="30" t="s">
        <v>107</v>
      </c>
      <c r="M296" s="30" t="s">
        <v>108</v>
      </c>
    </row>
    <row r="297" spans="4:13">
      <c r="D297" s="30" t="s">
        <v>213</v>
      </c>
      <c r="E297" s="30" t="s">
        <v>131</v>
      </c>
      <c r="G297" s="35" t="s">
        <v>162</v>
      </c>
      <c r="H297" s="35" t="s">
        <v>133</v>
      </c>
      <c r="I297" s="30" t="s">
        <v>134</v>
      </c>
      <c r="J297" s="30">
        <v>5</v>
      </c>
      <c r="K297" s="30" t="s">
        <v>35</v>
      </c>
      <c r="L297" s="30" t="s">
        <v>135</v>
      </c>
      <c r="M297" s="30" t="s">
        <v>108</v>
      </c>
    </row>
    <row r="298" spans="4:13" ht="15.75" customHeight="1">
      <c r="D298" s="30" t="s">
        <v>213</v>
      </c>
      <c r="E298" s="30" t="s">
        <v>118</v>
      </c>
      <c r="G298" s="35" t="s">
        <v>119</v>
      </c>
      <c r="H298" s="35" t="s">
        <v>120</v>
      </c>
      <c r="I298" s="30" t="s">
        <v>121</v>
      </c>
      <c r="J298" s="30">
        <v>2</v>
      </c>
      <c r="K298" s="30" t="s">
        <v>35</v>
      </c>
      <c r="L298" s="30" t="s">
        <v>891</v>
      </c>
      <c r="M298" s="30" t="s">
        <v>108</v>
      </c>
    </row>
    <row r="299" spans="4:13" ht="15" customHeight="1">
      <c r="D299" s="30" t="s">
        <v>213</v>
      </c>
      <c r="E299" s="30" t="s">
        <v>122</v>
      </c>
      <c r="F299" s="35" t="s">
        <v>123</v>
      </c>
      <c r="I299" s="30" t="s">
        <v>124</v>
      </c>
      <c r="J299" s="30">
        <v>5</v>
      </c>
      <c r="K299" s="30" t="s">
        <v>35</v>
      </c>
      <c r="L299" s="30" t="s">
        <v>107</v>
      </c>
      <c r="M299" s="30" t="s">
        <v>108</v>
      </c>
    </row>
    <row r="300" spans="4:13" ht="15" customHeight="1">
      <c r="D300" s="30" t="s">
        <v>213</v>
      </c>
      <c r="E300" s="30" t="s">
        <v>104</v>
      </c>
      <c r="F300" s="35" t="s">
        <v>117</v>
      </c>
      <c r="I300" s="30" t="s">
        <v>106</v>
      </c>
      <c r="J300" s="30" t="s">
        <v>107</v>
      </c>
      <c r="K300" s="30" t="s">
        <v>35</v>
      </c>
      <c r="L300" s="30" t="s">
        <v>107</v>
      </c>
      <c r="M300" s="30" t="s">
        <v>108</v>
      </c>
    </row>
    <row r="301" spans="4:13">
      <c r="D301" s="30" t="s">
        <v>214</v>
      </c>
      <c r="E301" s="30" t="s">
        <v>109</v>
      </c>
      <c r="F301" s="35" t="s">
        <v>110</v>
      </c>
      <c r="I301" s="30" t="s">
        <v>111</v>
      </c>
      <c r="J301" s="30">
        <v>2</v>
      </c>
      <c r="K301" s="30" t="s">
        <v>35</v>
      </c>
      <c r="L301" s="30" t="s">
        <v>107</v>
      </c>
      <c r="M301" s="30" t="s">
        <v>108</v>
      </c>
    </row>
    <row r="302" spans="4:13" ht="15" customHeight="1">
      <c r="D302" s="30" t="s">
        <v>214</v>
      </c>
      <c r="E302" s="30" t="s">
        <v>104</v>
      </c>
      <c r="F302" s="35" t="s">
        <v>215</v>
      </c>
      <c r="I302" s="30" t="s">
        <v>106</v>
      </c>
      <c r="J302" s="30" t="s">
        <v>107</v>
      </c>
      <c r="K302" s="30" t="s">
        <v>35</v>
      </c>
      <c r="L302" s="30" t="s">
        <v>107</v>
      </c>
      <c r="M302" s="30" t="s">
        <v>108</v>
      </c>
    </row>
    <row r="303" spans="4:13" ht="15" customHeight="1">
      <c r="D303" s="30" t="s">
        <v>651</v>
      </c>
      <c r="E303" s="30" t="s">
        <v>109</v>
      </c>
      <c r="F303" s="35" t="s">
        <v>110</v>
      </c>
      <c r="I303" s="30" t="s">
        <v>111</v>
      </c>
      <c r="J303" s="30">
        <v>2</v>
      </c>
      <c r="K303" s="30" t="s">
        <v>35</v>
      </c>
      <c r="L303" s="30" t="s">
        <v>107</v>
      </c>
      <c r="M303" s="30" t="s">
        <v>108</v>
      </c>
    </row>
    <row r="304" spans="4:13" ht="15" customHeight="1">
      <c r="D304" s="30" t="s">
        <v>651</v>
      </c>
      <c r="E304" s="30" t="s">
        <v>131</v>
      </c>
      <c r="G304" s="35" t="s">
        <v>150</v>
      </c>
      <c r="H304" s="35" t="s">
        <v>185</v>
      </c>
      <c r="I304" s="30" t="s">
        <v>134</v>
      </c>
      <c r="J304" s="30">
        <v>5</v>
      </c>
      <c r="K304" s="30" t="s">
        <v>35</v>
      </c>
      <c r="L304" s="30" t="s">
        <v>135</v>
      </c>
      <c r="M304" s="30" t="s">
        <v>108</v>
      </c>
    </row>
    <row r="305" spans="4:13" ht="15" customHeight="1">
      <c r="D305" s="30" t="s">
        <v>651</v>
      </c>
      <c r="E305" s="30" t="s">
        <v>118</v>
      </c>
      <c r="G305" s="35" t="s">
        <v>160</v>
      </c>
      <c r="H305" s="35" t="s">
        <v>145</v>
      </c>
      <c r="I305" s="30" t="s">
        <v>121</v>
      </c>
      <c r="J305" s="30">
        <v>2</v>
      </c>
      <c r="K305" s="30" t="s">
        <v>35</v>
      </c>
      <c r="L305" s="30" t="s">
        <v>891</v>
      </c>
      <c r="M305" s="30" t="s">
        <v>108</v>
      </c>
    </row>
    <row r="306" spans="4:13" ht="15" customHeight="1">
      <c r="D306" s="30" t="s">
        <v>651</v>
      </c>
      <c r="E306" s="30" t="s">
        <v>122</v>
      </c>
      <c r="F306" s="35" t="s">
        <v>123</v>
      </c>
      <c r="I306" s="30" t="s">
        <v>124</v>
      </c>
      <c r="J306" s="30">
        <v>5</v>
      </c>
      <c r="K306" s="30" t="s">
        <v>35</v>
      </c>
      <c r="L306" s="30" t="s">
        <v>107</v>
      </c>
      <c r="M306" s="30" t="s">
        <v>108</v>
      </c>
    </row>
    <row r="307" spans="4:13" ht="15" customHeight="1">
      <c r="D307" s="30" t="s">
        <v>651</v>
      </c>
      <c r="E307" s="30" t="s">
        <v>104</v>
      </c>
      <c r="F307" s="30" t="s">
        <v>652</v>
      </c>
      <c r="I307" s="30" t="s">
        <v>106</v>
      </c>
      <c r="J307" s="30">
        <v>2</v>
      </c>
      <c r="K307" s="30" t="s">
        <v>35</v>
      </c>
      <c r="L307" s="30" t="s">
        <v>107</v>
      </c>
      <c r="M307" s="30" t="s">
        <v>108</v>
      </c>
    </row>
    <row r="308" spans="4:13" ht="15" customHeight="1">
      <c r="D308" s="30" t="s">
        <v>216</v>
      </c>
      <c r="E308" s="30" t="s">
        <v>109</v>
      </c>
      <c r="F308" s="35" t="s">
        <v>110</v>
      </c>
      <c r="I308" s="30" t="s">
        <v>111</v>
      </c>
      <c r="J308" s="30">
        <v>2</v>
      </c>
      <c r="K308" s="30" t="s">
        <v>35</v>
      </c>
      <c r="L308" s="30" t="s">
        <v>107</v>
      </c>
      <c r="M308" s="30" t="s">
        <v>108</v>
      </c>
    </row>
    <row r="309" spans="4:13" ht="15" customHeight="1">
      <c r="D309" s="30" t="s">
        <v>216</v>
      </c>
      <c r="E309" s="30" t="s">
        <v>131</v>
      </c>
      <c r="G309" s="35" t="s">
        <v>132</v>
      </c>
      <c r="H309" s="35" t="s">
        <v>163</v>
      </c>
      <c r="I309" s="30" t="s">
        <v>134</v>
      </c>
      <c r="J309" s="30">
        <v>5</v>
      </c>
      <c r="K309" s="30" t="s">
        <v>35</v>
      </c>
      <c r="L309" s="30" t="s">
        <v>135</v>
      </c>
      <c r="M309" s="30" t="s">
        <v>108</v>
      </c>
    </row>
    <row r="310" spans="4:13" ht="15" customHeight="1">
      <c r="D310" s="30" t="s">
        <v>216</v>
      </c>
      <c r="E310" s="30" t="s">
        <v>118</v>
      </c>
      <c r="G310" s="35" t="s">
        <v>160</v>
      </c>
      <c r="H310" s="35" t="s">
        <v>145</v>
      </c>
      <c r="I310" s="30" t="s">
        <v>121</v>
      </c>
      <c r="J310" s="30">
        <v>2</v>
      </c>
      <c r="K310" s="30" t="s">
        <v>35</v>
      </c>
      <c r="L310" s="30" t="s">
        <v>891</v>
      </c>
      <c r="M310" s="30" t="s">
        <v>108</v>
      </c>
    </row>
    <row r="311" spans="4:13" ht="15" customHeight="1">
      <c r="D311" s="30" t="s">
        <v>216</v>
      </c>
      <c r="E311" s="30" t="s">
        <v>104</v>
      </c>
      <c r="F311" s="35" t="s">
        <v>217</v>
      </c>
      <c r="I311" s="30" t="s">
        <v>106</v>
      </c>
      <c r="J311" s="30" t="s">
        <v>107</v>
      </c>
      <c r="K311" s="30" t="s">
        <v>35</v>
      </c>
      <c r="L311" s="30" t="s">
        <v>107</v>
      </c>
      <c r="M311" s="30" t="s">
        <v>108</v>
      </c>
    </row>
    <row r="312" spans="4:13" ht="15" customHeight="1">
      <c r="D312" s="30" t="s">
        <v>218</v>
      </c>
      <c r="E312" s="30" t="s">
        <v>109</v>
      </c>
      <c r="F312" s="35" t="s">
        <v>110</v>
      </c>
      <c r="I312" s="30" t="s">
        <v>111</v>
      </c>
      <c r="J312" s="30">
        <v>2</v>
      </c>
      <c r="K312" s="30" t="s">
        <v>35</v>
      </c>
      <c r="L312" s="30" t="s">
        <v>107</v>
      </c>
      <c r="M312" s="30" t="s">
        <v>108</v>
      </c>
    </row>
    <row r="313" spans="4:13" ht="15" customHeight="1">
      <c r="D313" s="30" t="s">
        <v>218</v>
      </c>
      <c r="E313" s="30" t="s">
        <v>131</v>
      </c>
      <c r="G313" s="35" t="s">
        <v>162</v>
      </c>
      <c r="H313" s="35" t="s">
        <v>133</v>
      </c>
      <c r="I313" s="30" t="s">
        <v>134</v>
      </c>
      <c r="J313" s="30">
        <v>5</v>
      </c>
      <c r="K313" s="30" t="s">
        <v>35</v>
      </c>
      <c r="L313" s="30" t="s">
        <v>135</v>
      </c>
      <c r="M313" s="30" t="s">
        <v>108</v>
      </c>
    </row>
    <row r="314" spans="4:13" ht="15" customHeight="1">
      <c r="D314" s="30" t="s">
        <v>218</v>
      </c>
      <c r="E314" s="30" t="s">
        <v>118</v>
      </c>
      <c r="H314" s="35" t="s">
        <v>129</v>
      </c>
      <c r="I314" s="30" t="s">
        <v>121</v>
      </c>
      <c r="J314" s="30">
        <v>2</v>
      </c>
      <c r="K314" s="30" t="s">
        <v>35</v>
      </c>
      <c r="L314" s="30" t="s">
        <v>891</v>
      </c>
      <c r="M314" s="30" t="s">
        <v>108</v>
      </c>
    </row>
    <row r="315" spans="4:13" ht="15" customHeight="1">
      <c r="D315" s="30" t="s">
        <v>218</v>
      </c>
      <c r="E315" s="30" t="s">
        <v>122</v>
      </c>
      <c r="F315" s="35" t="s">
        <v>123</v>
      </c>
      <c r="I315" s="30" t="s">
        <v>124</v>
      </c>
      <c r="J315" s="30">
        <v>5</v>
      </c>
      <c r="K315" s="30" t="s">
        <v>35</v>
      </c>
      <c r="L315" s="30" t="s">
        <v>107</v>
      </c>
      <c r="M315" s="30" t="s">
        <v>108</v>
      </c>
    </row>
    <row r="316" spans="4:13" ht="14.25" customHeight="1">
      <c r="D316" s="30" t="s">
        <v>218</v>
      </c>
      <c r="E316" s="30" t="s">
        <v>104</v>
      </c>
      <c r="F316" s="35" t="s">
        <v>219</v>
      </c>
      <c r="I316" s="133" t="s">
        <v>111</v>
      </c>
      <c r="J316" s="30" t="s">
        <v>107</v>
      </c>
      <c r="K316" s="30" t="s">
        <v>35</v>
      </c>
      <c r="L316" s="30" t="s">
        <v>107</v>
      </c>
      <c r="M316" s="30" t="s">
        <v>108</v>
      </c>
    </row>
    <row r="317" spans="4:13" ht="15" customHeight="1">
      <c r="D317" s="30" t="s">
        <v>221</v>
      </c>
      <c r="E317" s="30" t="s">
        <v>109</v>
      </c>
      <c r="F317" s="35" t="s">
        <v>110</v>
      </c>
      <c r="I317" s="30" t="s">
        <v>111</v>
      </c>
      <c r="J317" s="30">
        <v>2</v>
      </c>
      <c r="K317" s="30" t="s">
        <v>35</v>
      </c>
      <c r="L317" s="30" t="s">
        <v>107</v>
      </c>
      <c r="M317" s="30" t="s">
        <v>108</v>
      </c>
    </row>
    <row r="318" spans="4:13" ht="15" customHeight="1">
      <c r="D318" s="30" t="s">
        <v>221</v>
      </c>
      <c r="E318" s="30" t="s">
        <v>131</v>
      </c>
      <c r="G318" s="35" t="s">
        <v>162</v>
      </c>
      <c r="H318" s="35" t="s">
        <v>163</v>
      </c>
      <c r="I318" s="30" t="s">
        <v>134</v>
      </c>
      <c r="J318" s="30">
        <v>5</v>
      </c>
      <c r="K318" s="30" t="s">
        <v>35</v>
      </c>
      <c r="L318" s="30" t="s">
        <v>135</v>
      </c>
      <c r="M318" s="30" t="s">
        <v>108</v>
      </c>
    </row>
    <row r="319" spans="4:13" ht="15" customHeight="1">
      <c r="D319" s="30" t="s">
        <v>221</v>
      </c>
      <c r="E319" s="30" t="s">
        <v>118</v>
      </c>
      <c r="G319" s="35" t="s">
        <v>129</v>
      </c>
      <c r="H319" s="35" t="s">
        <v>130</v>
      </c>
      <c r="I319" s="30" t="s">
        <v>121</v>
      </c>
      <c r="J319" s="30">
        <v>2</v>
      </c>
      <c r="K319" s="30" t="s">
        <v>35</v>
      </c>
      <c r="L319" s="30" t="s">
        <v>891</v>
      </c>
      <c r="M319" s="30" t="s">
        <v>108</v>
      </c>
    </row>
    <row r="320" spans="4:13" ht="15" customHeight="1">
      <c r="D320" s="30" t="s">
        <v>221</v>
      </c>
      <c r="E320" s="30" t="s">
        <v>122</v>
      </c>
      <c r="F320" s="35" t="s">
        <v>172</v>
      </c>
      <c r="I320" s="30" t="s">
        <v>124</v>
      </c>
      <c r="J320" s="30">
        <v>5</v>
      </c>
      <c r="K320" s="30" t="s">
        <v>35</v>
      </c>
      <c r="L320" s="30" t="s">
        <v>107</v>
      </c>
      <c r="M320" s="30" t="s">
        <v>108</v>
      </c>
    </row>
    <row r="321" spans="4:13" ht="15" customHeight="1">
      <c r="D321" s="30" t="s">
        <v>221</v>
      </c>
      <c r="E321" s="30" t="s">
        <v>104</v>
      </c>
      <c r="F321" s="35" t="s">
        <v>222</v>
      </c>
      <c r="I321" s="30" t="s">
        <v>106</v>
      </c>
      <c r="J321" s="30" t="s">
        <v>107</v>
      </c>
      <c r="K321" s="30" t="s">
        <v>35</v>
      </c>
      <c r="L321" s="30" t="s">
        <v>107</v>
      </c>
      <c r="M321" s="30" t="s">
        <v>108</v>
      </c>
    </row>
    <row r="322" spans="4:13" ht="15" customHeight="1">
      <c r="D322" s="30" t="s">
        <v>223</v>
      </c>
      <c r="E322" s="30" t="s">
        <v>109</v>
      </c>
      <c r="F322" s="35" t="s">
        <v>110</v>
      </c>
      <c r="I322" s="30" t="s">
        <v>111</v>
      </c>
      <c r="J322" s="30">
        <v>2</v>
      </c>
      <c r="K322" s="30" t="s">
        <v>35</v>
      </c>
      <c r="L322" s="30" t="s">
        <v>107</v>
      </c>
      <c r="M322" s="30" t="s">
        <v>108</v>
      </c>
    </row>
    <row r="323" spans="4:13" ht="15" customHeight="1">
      <c r="D323" s="30" t="s">
        <v>223</v>
      </c>
      <c r="E323" s="30" t="s">
        <v>131</v>
      </c>
      <c r="G323" s="35" t="s">
        <v>162</v>
      </c>
      <c r="H323" s="35" t="s">
        <v>225</v>
      </c>
      <c r="I323" s="30" t="s">
        <v>134</v>
      </c>
      <c r="J323" s="30">
        <v>5</v>
      </c>
      <c r="K323" s="30" t="s">
        <v>35</v>
      </c>
      <c r="L323" s="30" t="s">
        <v>135</v>
      </c>
      <c r="M323" s="30" t="s">
        <v>108</v>
      </c>
    </row>
    <row r="324" spans="4:13" ht="15" customHeight="1">
      <c r="D324" s="30" t="s">
        <v>223</v>
      </c>
      <c r="E324" s="30" t="s">
        <v>118</v>
      </c>
      <c r="G324" s="35" t="s">
        <v>142</v>
      </c>
      <c r="H324" s="35" t="s">
        <v>129</v>
      </c>
      <c r="I324" s="30" t="s">
        <v>121</v>
      </c>
      <c r="J324" s="30">
        <v>2</v>
      </c>
      <c r="K324" s="30" t="s">
        <v>35</v>
      </c>
      <c r="L324" s="30" t="s">
        <v>891</v>
      </c>
      <c r="M324" s="30" t="s">
        <v>108</v>
      </c>
    </row>
    <row r="325" spans="4:13" ht="15" customHeight="1">
      <c r="D325" s="30" t="s">
        <v>223</v>
      </c>
      <c r="E325" s="30" t="s">
        <v>122</v>
      </c>
      <c r="F325" s="35" t="s">
        <v>169</v>
      </c>
      <c r="I325" s="30" t="s">
        <v>124</v>
      </c>
      <c r="J325" s="30">
        <v>5</v>
      </c>
      <c r="K325" s="30" t="s">
        <v>35</v>
      </c>
      <c r="L325" s="30" t="s">
        <v>107</v>
      </c>
      <c r="M325" s="30" t="s">
        <v>108</v>
      </c>
    </row>
    <row r="326" spans="4:13" ht="15" customHeight="1">
      <c r="D326" s="30" t="s">
        <v>223</v>
      </c>
      <c r="E326" s="30" t="s">
        <v>104</v>
      </c>
      <c r="F326" s="35" t="s">
        <v>224</v>
      </c>
      <c r="I326" s="30" t="s">
        <v>106</v>
      </c>
      <c r="J326" s="30" t="s">
        <v>107</v>
      </c>
      <c r="K326" s="30" t="s">
        <v>35</v>
      </c>
      <c r="L326" s="30" t="s">
        <v>107</v>
      </c>
      <c r="M326" s="30" t="s">
        <v>108</v>
      </c>
    </row>
    <row r="327" spans="4:13" ht="15" customHeight="1">
      <c r="D327" s="30" t="s">
        <v>226</v>
      </c>
      <c r="E327" s="30" t="s">
        <v>109</v>
      </c>
      <c r="F327" s="35" t="s">
        <v>110</v>
      </c>
      <c r="I327" s="30" t="s">
        <v>111</v>
      </c>
      <c r="J327" s="30">
        <v>2</v>
      </c>
      <c r="K327" s="30" t="s">
        <v>35</v>
      </c>
      <c r="L327" s="30" t="s">
        <v>107</v>
      </c>
      <c r="M327" s="30" t="s">
        <v>108</v>
      </c>
    </row>
    <row r="328" spans="4:13" ht="15" customHeight="1">
      <c r="D328" s="30" t="s">
        <v>226</v>
      </c>
      <c r="E328" s="30" t="s">
        <v>131</v>
      </c>
      <c r="G328" s="35" t="s">
        <v>150</v>
      </c>
      <c r="H328" s="35" t="s">
        <v>151</v>
      </c>
      <c r="I328" s="30" t="s">
        <v>134</v>
      </c>
      <c r="J328" s="30">
        <v>5</v>
      </c>
      <c r="K328" s="30" t="s">
        <v>35</v>
      </c>
      <c r="L328" s="30" t="s">
        <v>135</v>
      </c>
      <c r="M328" s="30" t="s">
        <v>108</v>
      </c>
    </row>
    <row r="329" spans="4:13" ht="15" customHeight="1">
      <c r="D329" s="30" t="s">
        <v>226</v>
      </c>
      <c r="E329" s="30" t="s">
        <v>118</v>
      </c>
      <c r="G329" s="35" t="s">
        <v>228</v>
      </c>
      <c r="H329" s="35" t="s">
        <v>229</v>
      </c>
      <c r="I329" s="30" t="s">
        <v>121</v>
      </c>
      <c r="J329" s="30">
        <v>2</v>
      </c>
      <c r="K329" s="30" t="s">
        <v>35</v>
      </c>
      <c r="L329" s="30" t="s">
        <v>891</v>
      </c>
      <c r="M329" s="30" t="s">
        <v>108</v>
      </c>
    </row>
    <row r="330" spans="4:13" ht="15" customHeight="1">
      <c r="D330" s="30" t="s">
        <v>226</v>
      </c>
      <c r="E330" s="30" t="s">
        <v>122</v>
      </c>
      <c r="F330" s="35" t="s">
        <v>230</v>
      </c>
      <c r="I330" s="30" t="s">
        <v>124</v>
      </c>
      <c r="J330" s="30">
        <v>5</v>
      </c>
      <c r="K330" s="30" t="s">
        <v>35</v>
      </c>
      <c r="L330" s="30" t="s">
        <v>107</v>
      </c>
      <c r="M330" s="30" t="s">
        <v>108</v>
      </c>
    </row>
    <row r="331" spans="4:13" ht="15" customHeight="1">
      <c r="D331" s="30" t="s">
        <v>226</v>
      </c>
      <c r="E331" s="30" t="s">
        <v>104</v>
      </c>
      <c r="F331" s="35" t="s">
        <v>227</v>
      </c>
      <c r="I331" s="30" t="s">
        <v>106</v>
      </c>
      <c r="J331" s="30" t="s">
        <v>107</v>
      </c>
      <c r="K331" s="30" t="s">
        <v>35</v>
      </c>
      <c r="L331" s="30" t="s">
        <v>107</v>
      </c>
      <c r="M331" s="30" t="s">
        <v>108</v>
      </c>
    </row>
    <row r="332" spans="4:13" ht="15" customHeight="1">
      <c r="D332" s="30" t="s">
        <v>231</v>
      </c>
      <c r="E332" s="30" t="s">
        <v>109</v>
      </c>
      <c r="F332" s="35" t="s">
        <v>110</v>
      </c>
      <c r="I332" s="30" t="s">
        <v>111</v>
      </c>
      <c r="J332" s="30">
        <v>2</v>
      </c>
      <c r="K332" s="30" t="s">
        <v>35</v>
      </c>
      <c r="L332" s="30" t="s">
        <v>107</v>
      </c>
      <c r="M332" s="30" t="s">
        <v>108</v>
      </c>
    </row>
    <row r="333" spans="4:13" ht="15" customHeight="1">
      <c r="D333" s="30" t="s">
        <v>231</v>
      </c>
      <c r="E333" s="30" t="s">
        <v>104</v>
      </c>
      <c r="F333" s="35" t="s">
        <v>232</v>
      </c>
      <c r="I333" s="133" t="s">
        <v>111</v>
      </c>
      <c r="J333" s="95">
        <v>1</v>
      </c>
      <c r="K333" s="30" t="s">
        <v>35</v>
      </c>
      <c r="L333" s="30" t="s">
        <v>107</v>
      </c>
      <c r="M333" s="30" t="s">
        <v>108</v>
      </c>
    </row>
    <row r="334" spans="4:13" ht="15" customHeight="1">
      <c r="D334" s="30" t="s">
        <v>690</v>
      </c>
      <c r="E334" s="30" t="s">
        <v>109</v>
      </c>
      <c r="F334" s="35" t="s">
        <v>110</v>
      </c>
      <c r="I334" s="30" t="s">
        <v>111</v>
      </c>
      <c r="J334" s="30">
        <v>2</v>
      </c>
      <c r="K334" s="30" t="s">
        <v>35</v>
      </c>
      <c r="L334" s="30" t="s">
        <v>107</v>
      </c>
      <c r="M334" s="30" t="s">
        <v>108</v>
      </c>
    </row>
    <row r="335" spans="4:13" ht="15" customHeight="1">
      <c r="D335" s="30" t="s">
        <v>690</v>
      </c>
      <c r="E335" s="30" t="s">
        <v>118</v>
      </c>
      <c r="G335" s="35" t="s">
        <v>541</v>
      </c>
      <c r="H335" s="35" t="s">
        <v>570</v>
      </c>
      <c r="I335" s="30" t="s">
        <v>121</v>
      </c>
      <c r="J335" s="30">
        <v>2</v>
      </c>
      <c r="K335" s="30" t="s">
        <v>35</v>
      </c>
      <c r="L335" s="30" t="s">
        <v>891</v>
      </c>
      <c r="M335" s="30" t="s">
        <v>108</v>
      </c>
    </row>
    <row r="336" spans="4:13" ht="15" customHeight="1">
      <c r="D336" s="30" t="s">
        <v>690</v>
      </c>
      <c r="E336" s="30" t="s">
        <v>122</v>
      </c>
      <c r="F336" s="35" t="s">
        <v>238</v>
      </c>
      <c r="I336" s="30" t="s">
        <v>124</v>
      </c>
      <c r="J336" s="30">
        <v>5</v>
      </c>
      <c r="K336" s="30" t="s">
        <v>35</v>
      </c>
      <c r="L336" s="30" t="s">
        <v>107</v>
      </c>
      <c r="M336" s="30" t="s">
        <v>108</v>
      </c>
    </row>
    <row r="337" spans="4:13" ht="15" customHeight="1">
      <c r="D337" s="30" t="s">
        <v>690</v>
      </c>
      <c r="E337" s="30" t="s">
        <v>104</v>
      </c>
      <c r="F337" s="30" t="s">
        <v>691</v>
      </c>
      <c r="I337" s="30" t="s">
        <v>106</v>
      </c>
      <c r="J337" s="30">
        <v>2</v>
      </c>
      <c r="K337" s="30" t="s">
        <v>35</v>
      </c>
      <c r="L337" s="30" t="s">
        <v>107</v>
      </c>
      <c r="M337" s="30" t="s">
        <v>108</v>
      </c>
    </row>
    <row r="338" spans="4:13" ht="15" customHeight="1">
      <c r="D338" s="30" t="s">
        <v>588</v>
      </c>
      <c r="E338" s="30" t="s">
        <v>109</v>
      </c>
      <c r="F338" s="35" t="s">
        <v>110</v>
      </c>
      <c r="I338" s="30" t="s">
        <v>111</v>
      </c>
      <c r="J338" s="30">
        <v>2</v>
      </c>
      <c r="K338" s="30" t="s">
        <v>35</v>
      </c>
      <c r="L338" s="30" t="s">
        <v>107</v>
      </c>
      <c r="M338" s="30" t="s">
        <v>108</v>
      </c>
    </row>
    <row r="339" spans="4:13" ht="15" customHeight="1">
      <c r="D339" s="30" t="s">
        <v>588</v>
      </c>
      <c r="E339" s="30" t="s">
        <v>118</v>
      </c>
      <c r="G339" s="35" t="s">
        <v>129</v>
      </c>
      <c r="H339" s="35" t="s">
        <v>130</v>
      </c>
      <c r="I339" s="30" t="s">
        <v>121</v>
      </c>
      <c r="J339" s="30">
        <v>2</v>
      </c>
      <c r="K339" s="30" t="s">
        <v>35</v>
      </c>
      <c r="L339" s="30" t="s">
        <v>891</v>
      </c>
      <c r="M339" s="30" t="s">
        <v>108</v>
      </c>
    </row>
    <row r="340" spans="4:13" ht="15" customHeight="1">
      <c r="D340" s="30" t="s">
        <v>588</v>
      </c>
      <c r="E340" s="30" t="s">
        <v>122</v>
      </c>
      <c r="F340" s="35" t="s">
        <v>126</v>
      </c>
      <c r="I340" s="30" t="s">
        <v>124</v>
      </c>
      <c r="J340" s="30">
        <v>5</v>
      </c>
      <c r="K340" s="30" t="s">
        <v>35</v>
      </c>
      <c r="L340" s="30" t="s">
        <v>107</v>
      </c>
      <c r="M340" s="30" t="s">
        <v>108</v>
      </c>
    </row>
    <row r="341" spans="4:13" ht="15" customHeight="1">
      <c r="D341" s="30" t="s">
        <v>588</v>
      </c>
      <c r="E341" s="30" t="s">
        <v>104</v>
      </c>
      <c r="F341" s="30" t="s">
        <v>589</v>
      </c>
      <c r="I341" s="30" t="s">
        <v>106</v>
      </c>
      <c r="J341" s="30" t="s">
        <v>107</v>
      </c>
      <c r="K341" s="30" t="s">
        <v>35</v>
      </c>
      <c r="L341" s="30" t="s">
        <v>107</v>
      </c>
      <c r="M341" s="30" t="s">
        <v>108</v>
      </c>
    </row>
    <row r="342" spans="4:13" ht="15" customHeight="1">
      <c r="D342" s="30" t="s">
        <v>235</v>
      </c>
      <c r="E342" s="30" t="s">
        <v>109</v>
      </c>
      <c r="F342" s="35" t="s">
        <v>110</v>
      </c>
      <c r="I342" s="30" t="s">
        <v>111</v>
      </c>
      <c r="J342" s="30">
        <v>2</v>
      </c>
      <c r="K342" s="30" t="s">
        <v>35</v>
      </c>
      <c r="L342" s="30" t="s">
        <v>107</v>
      </c>
      <c r="M342" s="30" t="s">
        <v>108</v>
      </c>
    </row>
    <row r="343" spans="4:13" ht="15" customHeight="1">
      <c r="D343" s="30" t="s">
        <v>235</v>
      </c>
      <c r="E343" s="30" t="s">
        <v>131</v>
      </c>
      <c r="G343" s="35" t="s">
        <v>175</v>
      </c>
      <c r="H343" s="35" t="s">
        <v>237</v>
      </c>
      <c r="I343" s="30" t="s">
        <v>134</v>
      </c>
      <c r="J343" s="30">
        <v>5</v>
      </c>
      <c r="K343" s="30" t="s">
        <v>35</v>
      </c>
      <c r="L343" s="30" t="s">
        <v>135</v>
      </c>
      <c r="M343" s="30" t="s">
        <v>108</v>
      </c>
    </row>
    <row r="344" spans="4:13" ht="15" customHeight="1">
      <c r="D344" s="30" t="s">
        <v>235</v>
      </c>
      <c r="E344" s="30" t="s">
        <v>118</v>
      </c>
      <c r="G344" s="35" t="s">
        <v>129</v>
      </c>
      <c r="H344" s="35" t="s">
        <v>130</v>
      </c>
      <c r="I344" s="30" t="s">
        <v>121</v>
      </c>
      <c r="J344" s="30">
        <v>2</v>
      </c>
      <c r="K344" s="30" t="s">
        <v>35</v>
      </c>
      <c r="L344" s="30" t="s">
        <v>891</v>
      </c>
      <c r="M344" s="30" t="s">
        <v>108</v>
      </c>
    </row>
    <row r="345" spans="4:13" ht="15" customHeight="1">
      <c r="D345" s="30" t="s">
        <v>235</v>
      </c>
      <c r="E345" s="30" t="s">
        <v>122</v>
      </c>
      <c r="F345" s="35" t="s">
        <v>238</v>
      </c>
      <c r="I345" s="30" t="s">
        <v>124</v>
      </c>
      <c r="J345" s="30">
        <v>5</v>
      </c>
      <c r="K345" s="30" t="s">
        <v>35</v>
      </c>
      <c r="L345" s="30" t="s">
        <v>107</v>
      </c>
      <c r="M345" s="30" t="s">
        <v>108</v>
      </c>
    </row>
    <row r="346" spans="4:13" ht="15" customHeight="1">
      <c r="D346" s="30" t="s">
        <v>235</v>
      </c>
      <c r="E346" s="30" t="s">
        <v>104</v>
      </c>
      <c r="F346" s="35" t="s">
        <v>236</v>
      </c>
      <c r="I346" s="30" t="s">
        <v>106</v>
      </c>
      <c r="J346" s="30" t="s">
        <v>107</v>
      </c>
      <c r="K346" s="30" t="s">
        <v>35</v>
      </c>
      <c r="L346" s="30" t="s">
        <v>107</v>
      </c>
      <c r="M346" s="30" t="s">
        <v>108</v>
      </c>
    </row>
    <row r="347" spans="4:13" ht="15" customHeight="1">
      <c r="D347" s="30" t="s">
        <v>239</v>
      </c>
      <c r="E347" s="30" t="s">
        <v>109</v>
      </c>
      <c r="F347" s="35" t="s">
        <v>110</v>
      </c>
      <c r="I347" s="30" t="s">
        <v>111</v>
      </c>
      <c r="J347" s="30">
        <v>2</v>
      </c>
      <c r="K347" s="30" t="s">
        <v>35</v>
      </c>
      <c r="L347" s="30" t="s">
        <v>107</v>
      </c>
      <c r="M347" s="30" t="s">
        <v>108</v>
      </c>
    </row>
    <row r="348" spans="4:13" ht="15" customHeight="1">
      <c r="D348" s="30" t="s">
        <v>239</v>
      </c>
      <c r="E348" s="30" t="s">
        <v>131</v>
      </c>
      <c r="G348" s="35" t="s">
        <v>162</v>
      </c>
      <c r="H348" s="35" t="s">
        <v>163</v>
      </c>
      <c r="I348" s="30" t="s">
        <v>134</v>
      </c>
      <c r="J348" s="30">
        <v>5</v>
      </c>
      <c r="K348" s="30" t="s">
        <v>35</v>
      </c>
      <c r="L348" s="30" t="s">
        <v>135</v>
      </c>
      <c r="M348" s="30" t="s">
        <v>108</v>
      </c>
    </row>
    <row r="349" spans="4:13" ht="15" customHeight="1">
      <c r="D349" s="30" t="s">
        <v>239</v>
      </c>
      <c r="E349" s="30" t="s">
        <v>118</v>
      </c>
      <c r="G349" s="35" t="s">
        <v>129</v>
      </c>
      <c r="H349" s="35" t="s">
        <v>130</v>
      </c>
      <c r="I349" s="30" t="s">
        <v>121</v>
      </c>
      <c r="J349" s="30">
        <v>2</v>
      </c>
      <c r="K349" s="30" t="s">
        <v>35</v>
      </c>
      <c r="L349" s="30" t="s">
        <v>891</v>
      </c>
      <c r="M349" s="30" t="s">
        <v>108</v>
      </c>
    </row>
    <row r="350" spans="4:13" ht="15" customHeight="1">
      <c r="D350" s="30" t="s">
        <v>239</v>
      </c>
      <c r="E350" s="30" t="s">
        <v>122</v>
      </c>
      <c r="F350" s="35" t="s">
        <v>180</v>
      </c>
      <c r="I350" s="30" t="s">
        <v>124</v>
      </c>
      <c r="J350" s="30">
        <v>5</v>
      </c>
      <c r="K350" s="30" t="s">
        <v>35</v>
      </c>
      <c r="L350" s="30" t="s">
        <v>107</v>
      </c>
      <c r="M350" s="30" t="s">
        <v>108</v>
      </c>
    </row>
    <row r="351" spans="4:13" ht="15" customHeight="1">
      <c r="D351" s="30" t="s">
        <v>239</v>
      </c>
      <c r="E351" s="30" t="s">
        <v>104</v>
      </c>
      <c r="F351" s="35" t="s">
        <v>240</v>
      </c>
      <c r="I351" s="30" t="s">
        <v>106</v>
      </c>
      <c r="J351" s="30" t="s">
        <v>107</v>
      </c>
      <c r="K351" s="30" t="s">
        <v>35</v>
      </c>
      <c r="L351" s="30" t="s">
        <v>107</v>
      </c>
      <c r="M351" s="30" t="s">
        <v>108</v>
      </c>
    </row>
    <row r="352" spans="4:13" ht="15" customHeight="1">
      <c r="D352" s="30" t="s">
        <v>656</v>
      </c>
      <c r="E352" s="30" t="s">
        <v>109</v>
      </c>
      <c r="F352" s="35" t="s">
        <v>110</v>
      </c>
      <c r="I352" s="30" t="s">
        <v>111</v>
      </c>
      <c r="J352" s="30">
        <v>2</v>
      </c>
      <c r="K352" s="30" t="s">
        <v>35</v>
      </c>
      <c r="L352" s="30" t="s">
        <v>107</v>
      </c>
      <c r="M352" s="30" t="s">
        <v>108</v>
      </c>
    </row>
    <row r="353" spans="4:13" ht="15" customHeight="1">
      <c r="D353" s="30" t="s">
        <v>656</v>
      </c>
      <c r="E353" s="30" t="s">
        <v>131</v>
      </c>
      <c r="G353" s="35" t="s">
        <v>162</v>
      </c>
      <c r="H353" s="35" t="s">
        <v>163</v>
      </c>
      <c r="I353" s="30" t="s">
        <v>134</v>
      </c>
      <c r="J353" s="30">
        <v>5</v>
      </c>
      <c r="K353" s="30" t="s">
        <v>35</v>
      </c>
      <c r="L353" s="30" t="s">
        <v>135</v>
      </c>
      <c r="M353" s="30" t="s">
        <v>108</v>
      </c>
    </row>
    <row r="354" spans="4:13" ht="15" customHeight="1">
      <c r="D354" s="30" t="s">
        <v>656</v>
      </c>
      <c r="E354" s="30" t="s">
        <v>118</v>
      </c>
      <c r="G354" s="35" t="s">
        <v>129</v>
      </c>
      <c r="H354" s="35" t="s">
        <v>130</v>
      </c>
      <c r="I354" s="30" t="s">
        <v>121</v>
      </c>
      <c r="J354" s="30">
        <v>2</v>
      </c>
      <c r="K354" s="30" t="s">
        <v>35</v>
      </c>
      <c r="L354" s="30" t="s">
        <v>891</v>
      </c>
      <c r="M354" s="30" t="s">
        <v>108</v>
      </c>
    </row>
    <row r="355" spans="4:13" ht="15" customHeight="1">
      <c r="D355" s="30" t="s">
        <v>656</v>
      </c>
      <c r="E355" s="30" t="s">
        <v>122</v>
      </c>
      <c r="F355" s="35" t="s">
        <v>657</v>
      </c>
      <c r="I355" s="30" t="s">
        <v>124</v>
      </c>
      <c r="J355" s="30">
        <v>5</v>
      </c>
      <c r="K355" s="30" t="s">
        <v>35</v>
      </c>
      <c r="L355" s="30" t="s">
        <v>107</v>
      </c>
      <c r="M355" s="30" t="s">
        <v>108</v>
      </c>
    </row>
    <row r="356" spans="4:13" ht="15" customHeight="1">
      <c r="D356" s="30" t="s">
        <v>656</v>
      </c>
      <c r="E356" s="30" t="s">
        <v>104</v>
      </c>
      <c r="F356" s="30" t="s">
        <v>654</v>
      </c>
      <c r="I356" s="30" t="s">
        <v>106</v>
      </c>
      <c r="J356" s="30">
        <v>2</v>
      </c>
      <c r="K356" s="30" t="s">
        <v>35</v>
      </c>
      <c r="L356" s="30" t="s">
        <v>107</v>
      </c>
      <c r="M356" s="30" t="s">
        <v>108</v>
      </c>
    </row>
    <row r="357" spans="4:13" ht="15" customHeight="1">
      <c r="D357" s="30" t="s">
        <v>241</v>
      </c>
      <c r="E357" s="30" t="s">
        <v>109</v>
      </c>
      <c r="F357" s="35" t="s">
        <v>110</v>
      </c>
      <c r="I357" s="30" t="s">
        <v>111</v>
      </c>
      <c r="J357" s="30">
        <v>2</v>
      </c>
      <c r="K357" s="30" t="s">
        <v>35</v>
      </c>
      <c r="L357" s="30" t="s">
        <v>107</v>
      </c>
      <c r="M357" s="30" t="s">
        <v>108</v>
      </c>
    </row>
    <row r="358" spans="4:13" ht="15" customHeight="1">
      <c r="D358" s="30" t="s">
        <v>241</v>
      </c>
      <c r="E358" s="30" t="s">
        <v>118</v>
      </c>
      <c r="G358" s="35" t="s">
        <v>129</v>
      </c>
      <c r="H358" s="35" t="s">
        <v>229</v>
      </c>
      <c r="I358" s="30" t="s">
        <v>121</v>
      </c>
      <c r="J358" s="30">
        <v>2</v>
      </c>
      <c r="K358" s="30" t="s">
        <v>35</v>
      </c>
      <c r="L358" s="30" t="s">
        <v>891</v>
      </c>
      <c r="M358" s="30" t="s">
        <v>108</v>
      </c>
    </row>
    <row r="359" spans="4:13" ht="15" customHeight="1">
      <c r="D359" s="30" t="s">
        <v>241</v>
      </c>
      <c r="E359" s="30" t="s">
        <v>243</v>
      </c>
      <c r="G359" s="35" t="s">
        <v>129</v>
      </c>
      <c r="H359" s="35" t="s">
        <v>130</v>
      </c>
      <c r="I359" s="30" t="s">
        <v>121</v>
      </c>
      <c r="J359" s="30">
        <v>2</v>
      </c>
      <c r="K359" s="30" t="s">
        <v>35</v>
      </c>
      <c r="L359" s="30" t="s">
        <v>891</v>
      </c>
      <c r="M359" s="30" t="s">
        <v>108</v>
      </c>
    </row>
    <row r="360" spans="4:13" ht="15" customHeight="1">
      <c r="D360" s="30" t="s">
        <v>241</v>
      </c>
      <c r="E360" s="30" t="s">
        <v>122</v>
      </c>
      <c r="F360" s="35" t="s">
        <v>244</v>
      </c>
      <c r="I360" s="30" t="s">
        <v>124</v>
      </c>
      <c r="J360" s="30">
        <v>5</v>
      </c>
      <c r="K360" s="30" t="s">
        <v>35</v>
      </c>
      <c r="L360" s="30" t="s">
        <v>107</v>
      </c>
      <c r="M360" s="30" t="s">
        <v>108</v>
      </c>
    </row>
    <row r="361" spans="4:13" ht="15" customHeight="1">
      <c r="D361" s="30" t="s">
        <v>241</v>
      </c>
      <c r="E361" s="30" t="s">
        <v>104</v>
      </c>
      <c r="F361" s="35" t="s">
        <v>242</v>
      </c>
      <c r="I361" s="30" t="s">
        <v>106</v>
      </c>
      <c r="J361" s="30" t="s">
        <v>107</v>
      </c>
      <c r="K361" s="30" t="s">
        <v>35</v>
      </c>
      <c r="L361" s="30" t="s">
        <v>107</v>
      </c>
      <c r="M361" s="30" t="s">
        <v>108</v>
      </c>
    </row>
    <row r="362" spans="4:13" ht="15" customHeight="1">
      <c r="D362" s="30" t="s">
        <v>548</v>
      </c>
      <c r="E362" s="30" t="s">
        <v>109</v>
      </c>
      <c r="F362" s="35" t="s">
        <v>110</v>
      </c>
      <c r="I362" s="30" t="s">
        <v>111</v>
      </c>
      <c r="J362" s="30">
        <v>2</v>
      </c>
      <c r="K362" s="30" t="s">
        <v>35</v>
      </c>
      <c r="L362" s="30" t="s">
        <v>107</v>
      </c>
      <c r="M362" s="30" t="s">
        <v>108</v>
      </c>
    </row>
    <row r="363" spans="4:13" ht="15" customHeight="1">
      <c r="D363" s="30" t="s">
        <v>548</v>
      </c>
      <c r="E363" s="30" t="s">
        <v>118</v>
      </c>
      <c r="G363" s="35" t="s">
        <v>160</v>
      </c>
      <c r="H363" s="35" t="s">
        <v>142</v>
      </c>
      <c r="I363" s="30" t="s">
        <v>121</v>
      </c>
      <c r="J363" s="30">
        <v>2</v>
      </c>
      <c r="K363" s="30" t="s">
        <v>35</v>
      </c>
      <c r="L363" s="30" t="s">
        <v>891</v>
      </c>
      <c r="M363" s="30" t="s">
        <v>108</v>
      </c>
    </row>
    <row r="364" spans="4:13" ht="15" customHeight="1">
      <c r="D364" s="30" t="s">
        <v>548</v>
      </c>
      <c r="E364" s="30" t="s">
        <v>122</v>
      </c>
      <c r="F364" s="35" t="s">
        <v>212</v>
      </c>
      <c r="I364" s="30" t="s">
        <v>124</v>
      </c>
      <c r="J364" s="30">
        <v>5</v>
      </c>
      <c r="K364" s="30" t="s">
        <v>35</v>
      </c>
      <c r="L364" s="30" t="s">
        <v>107</v>
      </c>
      <c r="M364" s="30" t="s">
        <v>108</v>
      </c>
    </row>
    <row r="365" spans="4:13" ht="15" customHeight="1">
      <c r="D365" s="30" t="s">
        <v>548</v>
      </c>
      <c r="E365" s="30" t="s">
        <v>104</v>
      </c>
      <c r="F365" s="30" t="s">
        <v>117</v>
      </c>
      <c r="I365" s="30" t="s">
        <v>106</v>
      </c>
      <c r="J365" s="30" t="s">
        <v>107</v>
      </c>
      <c r="K365" s="30" t="s">
        <v>35</v>
      </c>
      <c r="L365" s="30" t="s">
        <v>107</v>
      </c>
      <c r="M365" s="30" t="s">
        <v>108</v>
      </c>
    </row>
    <row r="366" spans="4:13" ht="15" customHeight="1">
      <c r="D366" s="30" t="s">
        <v>549</v>
      </c>
      <c r="E366" s="30" t="s">
        <v>109</v>
      </c>
      <c r="F366" s="35" t="s">
        <v>110</v>
      </c>
      <c r="I366" s="30" t="s">
        <v>111</v>
      </c>
      <c r="J366" s="30">
        <v>2</v>
      </c>
      <c r="K366" s="30" t="s">
        <v>35</v>
      </c>
      <c r="L366" s="30" t="s">
        <v>107</v>
      </c>
      <c r="M366" s="30" t="s">
        <v>108</v>
      </c>
    </row>
    <row r="367" spans="4:13" ht="15" customHeight="1">
      <c r="D367" s="30" t="s">
        <v>549</v>
      </c>
      <c r="E367" s="30" t="s">
        <v>118</v>
      </c>
      <c r="G367" s="35" t="s">
        <v>129</v>
      </c>
      <c r="H367" s="35" t="s">
        <v>130</v>
      </c>
      <c r="I367" s="30" t="s">
        <v>121</v>
      </c>
      <c r="J367" s="30">
        <v>2</v>
      </c>
      <c r="K367" s="30" t="s">
        <v>35</v>
      </c>
      <c r="L367" s="30" t="s">
        <v>891</v>
      </c>
      <c r="M367" s="30" t="s">
        <v>108</v>
      </c>
    </row>
    <row r="368" spans="4:13" ht="15" customHeight="1">
      <c r="D368" s="30" t="s">
        <v>549</v>
      </c>
      <c r="E368" s="30" t="s">
        <v>122</v>
      </c>
      <c r="F368" s="35" t="s">
        <v>204</v>
      </c>
      <c r="I368" s="30" t="s">
        <v>124</v>
      </c>
      <c r="J368" s="30">
        <v>5</v>
      </c>
      <c r="K368" s="30" t="s">
        <v>35</v>
      </c>
      <c r="L368" s="30" t="s">
        <v>107</v>
      </c>
      <c r="M368" s="30" t="s">
        <v>108</v>
      </c>
    </row>
    <row r="369" spans="4:13" ht="15" customHeight="1">
      <c r="D369" s="30" t="s">
        <v>549</v>
      </c>
      <c r="E369" s="30" t="s">
        <v>104</v>
      </c>
      <c r="F369" s="30" t="s">
        <v>550</v>
      </c>
      <c r="I369" s="30" t="s">
        <v>106</v>
      </c>
      <c r="J369" s="30" t="s">
        <v>107</v>
      </c>
      <c r="K369" s="30" t="s">
        <v>35</v>
      </c>
      <c r="L369" s="30" t="s">
        <v>107</v>
      </c>
      <c r="M369" s="30" t="s">
        <v>108</v>
      </c>
    </row>
    <row r="370" spans="4:13" ht="15" customHeight="1">
      <c r="D370" s="30" t="s">
        <v>245</v>
      </c>
      <c r="E370" s="30" t="s">
        <v>109</v>
      </c>
      <c r="F370" s="35" t="s">
        <v>110</v>
      </c>
      <c r="I370" s="30" t="s">
        <v>111</v>
      </c>
      <c r="J370" s="30">
        <v>2</v>
      </c>
      <c r="K370" s="30" t="s">
        <v>35</v>
      </c>
      <c r="L370" s="30" t="s">
        <v>107</v>
      </c>
      <c r="M370" s="30" t="s">
        <v>108</v>
      </c>
    </row>
    <row r="371" spans="4:13" ht="15" customHeight="1">
      <c r="D371" s="30" t="s">
        <v>245</v>
      </c>
      <c r="E371" s="30" t="s">
        <v>118</v>
      </c>
      <c r="G371" s="35" t="s">
        <v>142</v>
      </c>
      <c r="H371" s="35" t="s">
        <v>129</v>
      </c>
      <c r="I371" s="30" t="s">
        <v>121</v>
      </c>
      <c r="J371" s="30">
        <v>2</v>
      </c>
      <c r="K371" s="30" t="s">
        <v>35</v>
      </c>
      <c r="L371" s="30" t="s">
        <v>891</v>
      </c>
      <c r="M371" s="30" t="s">
        <v>108</v>
      </c>
    </row>
    <row r="372" spans="4:13" ht="15" customHeight="1">
      <c r="D372" s="30" t="s">
        <v>245</v>
      </c>
      <c r="E372" s="30" t="s">
        <v>122</v>
      </c>
      <c r="F372" s="35" t="s">
        <v>230</v>
      </c>
      <c r="I372" s="30" t="s">
        <v>124</v>
      </c>
      <c r="J372" s="30">
        <v>5</v>
      </c>
      <c r="K372" s="30" t="s">
        <v>35</v>
      </c>
      <c r="L372" s="30" t="s">
        <v>107</v>
      </c>
      <c r="M372" s="30" t="s">
        <v>108</v>
      </c>
    </row>
    <row r="373" spans="4:13" ht="15" customHeight="1">
      <c r="D373" s="30" t="s">
        <v>245</v>
      </c>
      <c r="E373" s="30" t="s">
        <v>104</v>
      </c>
      <c r="F373" s="35" t="s">
        <v>246</v>
      </c>
      <c r="I373" s="30" t="s">
        <v>106</v>
      </c>
      <c r="J373" s="30" t="s">
        <v>107</v>
      </c>
      <c r="K373" s="30" t="s">
        <v>35</v>
      </c>
      <c r="L373" s="30" t="s">
        <v>107</v>
      </c>
      <c r="M373" s="30" t="s">
        <v>108</v>
      </c>
    </row>
    <row r="374" spans="4:13" ht="15" customHeight="1">
      <c r="D374" s="30" t="s">
        <v>247</v>
      </c>
      <c r="E374" s="30" t="s">
        <v>109</v>
      </c>
      <c r="F374" s="35" t="s">
        <v>110</v>
      </c>
      <c r="I374" s="30" t="s">
        <v>111</v>
      </c>
      <c r="J374" s="30">
        <v>2</v>
      </c>
      <c r="K374" s="30" t="s">
        <v>35</v>
      </c>
      <c r="L374" s="30" t="s">
        <v>107</v>
      </c>
      <c r="M374" s="30" t="s">
        <v>108</v>
      </c>
    </row>
    <row r="375" spans="4:13" ht="15" customHeight="1">
      <c r="D375" s="30" t="s">
        <v>247</v>
      </c>
      <c r="E375" s="30" t="s">
        <v>118</v>
      </c>
      <c r="G375" s="35" t="s">
        <v>129</v>
      </c>
      <c r="H375" s="35" t="s">
        <v>130</v>
      </c>
      <c r="I375" s="30" t="s">
        <v>121</v>
      </c>
      <c r="J375" s="30">
        <v>2</v>
      </c>
      <c r="K375" s="30" t="s">
        <v>35</v>
      </c>
      <c r="L375" s="30" t="s">
        <v>891</v>
      </c>
      <c r="M375" s="30" t="s">
        <v>108</v>
      </c>
    </row>
    <row r="376" spans="4:13" ht="15" customHeight="1">
      <c r="D376" s="30" t="s">
        <v>247</v>
      </c>
      <c r="E376" s="30" t="s">
        <v>122</v>
      </c>
      <c r="F376" s="35" t="s">
        <v>249</v>
      </c>
      <c r="I376" s="30" t="s">
        <v>124</v>
      </c>
      <c r="J376" s="30">
        <v>5</v>
      </c>
      <c r="K376" s="30" t="s">
        <v>35</v>
      </c>
      <c r="L376" s="30" t="s">
        <v>107</v>
      </c>
      <c r="M376" s="30" t="s">
        <v>108</v>
      </c>
    </row>
    <row r="377" spans="4:13" ht="15" customHeight="1">
      <c r="D377" s="30" t="s">
        <v>247</v>
      </c>
      <c r="E377" s="30" t="s">
        <v>104</v>
      </c>
      <c r="F377" s="35" t="s">
        <v>248</v>
      </c>
      <c r="I377" s="30" t="s">
        <v>106</v>
      </c>
      <c r="J377" s="30" t="s">
        <v>107</v>
      </c>
      <c r="K377" s="30" t="s">
        <v>35</v>
      </c>
      <c r="L377" s="30" t="s">
        <v>107</v>
      </c>
      <c r="M377" s="30" t="s">
        <v>108</v>
      </c>
    </row>
    <row r="378" spans="4:13" ht="15" customHeight="1">
      <c r="D378" s="30" t="s">
        <v>599</v>
      </c>
      <c r="E378" s="30" t="s">
        <v>109</v>
      </c>
      <c r="F378" s="35" t="s">
        <v>110</v>
      </c>
      <c r="I378" s="30" t="s">
        <v>111</v>
      </c>
      <c r="J378" s="30">
        <v>2</v>
      </c>
      <c r="K378" s="30" t="s">
        <v>35</v>
      </c>
      <c r="L378" s="30" t="s">
        <v>107</v>
      </c>
      <c r="M378" s="30" t="s">
        <v>108</v>
      </c>
    </row>
    <row r="379" spans="4:13" ht="15" customHeight="1">
      <c r="D379" s="30" t="s">
        <v>599</v>
      </c>
      <c r="E379" s="30" t="s">
        <v>118</v>
      </c>
      <c r="G379" s="35" t="s">
        <v>119</v>
      </c>
      <c r="H379" s="35" t="s">
        <v>120</v>
      </c>
      <c r="I379" s="30" t="s">
        <v>121</v>
      </c>
      <c r="J379" s="30">
        <v>2</v>
      </c>
      <c r="K379" s="30" t="s">
        <v>35</v>
      </c>
      <c r="L379" s="30" t="s">
        <v>891</v>
      </c>
      <c r="M379" s="30" t="s">
        <v>108</v>
      </c>
    </row>
    <row r="380" spans="4:13" ht="15" customHeight="1">
      <c r="D380" s="30" t="s">
        <v>599</v>
      </c>
      <c r="E380" s="30" t="s">
        <v>104</v>
      </c>
      <c r="F380" s="30" t="s">
        <v>600</v>
      </c>
      <c r="I380" s="30" t="s">
        <v>106</v>
      </c>
      <c r="J380" s="30" t="s">
        <v>107</v>
      </c>
      <c r="K380" s="30" t="s">
        <v>35</v>
      </c>
      <c r="L380" s="30" t="s">
        <v>107</v>
      </c>
      <c r="M380" s="30" t="s">
        <v>108</v>
      </c>
    </row>
    <row r="381" spans="4:13" ht="15" customHeight="1">
      <c r="D381" s="30" t="s">
        <v>250</v>
      </c>
      <c r="E381" s="30" t="s">
        <v>109</v>
      </c>
      <c r="F381" s="35" t="s">
        <v>110</v>
      </c>
      <c r="I381" s="30" t="s">
        <v>111</v>
      </c>
      <c r="J381" s="30">
        <v>2</v>
      </c>
      <c r="K381" s="30" t="s">
        <v>35</v>
      </c>
      <c r="L381" s="30" t="s">
        <v>107</v>
      </c>
      <c r="M381" s="30" t="s">
        <v>108</v>
      </c>
    </row>
    <row r="382" spans="4:13" ht="15" customHeight="1">
      <c r="D382" s="30" t="s">
        <v>250</v>
      </c>
      <c r="E382" s="30" t="s">
        <v>118</v>
      </c>
      <c r="G382" s="35" t="s">
        <v>119</v>
      </c>
      <c r="H382" s="35" t="s">
        <v>120</v>
      </c>
      <c r="I382" s="30" t="s">
        <v>121</v>
      </c>
      <c r="J382" s="30">
        <v>2</v>
      </c>
      <c r="K382" s="30" t="s">
        <v>35</v>
      </c>
      <c r="L382" s="30" t="s">
        <v>891</v>
      </c>
      <c r="M382" s="30" t="s">
        <v>108</v>
      </c>
    </row>
    <row r="383" spans="4:13" ht="15" customHeight="1">
      <c r="D383" s="30" t="s">
        <v>250</v>
      </c>
      <c r="E383" s="30" t="s">
        <v>122</v>
      </c>
      <c r="F383" s="35" t="s">
        <v>123</v>
      </c>
      <c r="I383" s="30" t="s">
        <v>124</v>
      </c>
      <c r="J383" s="30">
        <v>5</v>
      </c>
      <c r="K383" s="30" t="s">
        <v>35</v>
      </c>
      <c r="L383" s="30" t="s">
        <v>107</v>
      </c>
      <c r="M383" s="30" t="s">
        <v>108</v>
      </c>
    </row>
    <row r="384" spans="4:13" ht="15" customHeight="1">
      <c r="D384" s="30" t="s">
        <v>250</v>
      </c>
      <c r="E384" s="30" t="s">
        <v>104</v>
      </c>
      <c r="F384" s="35" t="s">
        <v>117</v>
      </c>
      <c r="I384" s="30" t="s">
        <v>106</v>
      </c>
      <c r="J384" s="30" t="s">
        <v>107</v>
      </c>
      <c r="K384" s="30" t="s">
        <v>35</v>
      </c>
      <c r="L384" s="30" t="s">
        <v>107</v>
      </c>
      <c r="M384" s="30" t="s">
        <v>108</v>
      </c>
    </row>
    <row r="385" spans="4:13" ht="15" customHeight="1">
      <c r="D385" s="30" t="s">
        <v>633</v>
      </c>
      <c r="E385" s="30" t="s">
        <v>109</v>
      </c>
      <c r="F385" s="35" t="s">
        <v>110</v>
      </c>
      <c r="I385" s="30" t="s">
        <v>111</v>
      </c>
      <c r="J385" s="30">
        <v>2</v>
      </c>
      <c r="K385" s="30" t="s">
        <v>35</v>
      </c>
      <c r="L385" s="30" t="s">
        <v>107</v>
      </c>
      <c r="M385" s="30" t="s">
        <v>108</v>
      </c>
    </row>
    <row r="386" spans="4:13" ht="15" customHeight="1">
      <c r="D386" s="30" t="s">
        <v>633</v>
      </c>
      <c r="E386" s="30" t="s">
        <v>118</v>
      </c>
      <c r="G386" s="35" t="s">
        <v>119</v>
      </c>
      <c r="H386" s="35" t="s">
        <v>120</v>
      </c>
      <c r="I386" s="30" t="s">
        <v>121</v>
      </c>
      <c r="J386" s="30">
        <v>2</v>
      </c>
      <c r="K386" s="30" t="s">
        <v>35</v>
      </c>
      <c r="L386" s="30" t="s">
        <v>891</v>
      </c>
      <c r="M386" s="30" t="s">
        <v>108</v>
      </c>
    </row>
    <row r="387" spans="4:13" ht="15" customHeight="1">
      <c r="D387" s="30" t="s">
        <v>633</v>
      </c>
      <c r="E387" s="30" t="s">
        <v>122</v>
      </c>
      <c r="F387" s="35" t="s">
        <v>123</v>
      </c>
      <c r="I387" s="30" t="s">
        <v>124</v>
      </c>
      <c r="J387" s="30">
        <v>5</v>
      </c>
      <c r="K387" s="30" t="s">
        <v>35</v>
      </c>
      <c r="L387" s="30" t="s">
        <v>107</v>
      </c>
      <c r="M387" s="30" t="s">
        <v>108</v>
      </c>
    </row>
    <row r="388" spans="4:13" ht="15" customHeight="1">
      <c r="D388" s="30" t="s">
        <v>633</v>
      </c>
      <c r="E388" s="30" t="s">
        <v>104</v>
      </c>
      <c r="F388" s="30" t="s">
        <v>117</v>
      </c>
      <c r="I388" s="30" t="s">
        <v>106</v>
      </c>
      <c r="J388" s="30">
        <v>2</v>
      </c>
      <c r="K388" s="30" t="s">
        <v>35</v>
      </c>
      <c r="L388" s="30" t="s">
        <v>107</v>
      </c>
      <c r="M388" s="30" t="s">
        <v>108</v>
      </c>
    </row>
    <row r="389" spans="4:13" ht="15" customHeight="1">
      <c r="D389" s="30" t="s">
        <v>251</v>
      </c>
      <c r="E389" s="30" t="s">
        <v>109</v>
      </c>
      <c r="F389" s="35" t="s">
        <v>110</v>
      </c>
      <c r="I389" s="30" t="s">
        <v>111</v>
      </c>
      <c r="J389" s="30">
        <v>2</v>
      </c>
      <c r="K389" s="30" t="s">
        <v>35</v>
      </c>
      <c r="L389" s="30" t="s">
        <v>107</v>
      </c>
      <c r="M389" s="30" t="s">
        <v>108</v>
      </c>
    </row>
    <row r="390" spans="4:13" ht="15" customHeight="1">
      <c r="D390" s="30" t="s">
        <v>251</v>
      </c>
      <c r="E390" s="30" t="s">
        <v>131</v>
      </c>
      <c r="G390" s="35" t="s">
        <v>187</v>
      </c>
      <c r="H390" s="35" t="s">
        <v>163</v>
      </c>
      <c r="I390" s="30" t="s">
        <v>134</v>
      </c>
      <c r="J390" s="30">
        <v>5</v>
      </c>
      <c r="K390" s="30" t="s">
        <v>35</v>
      </c>
      <c r="L390" s="30" t="s">
        <v>135</v>
      </c>
      <c r="M390" s="30" t="s">
        <v>108</v>
      </c>
    </row>
    <row r="391" spans="4:13" ht="15" customHeight="1">
      <c r="D391" s="30" t="s">
        <v>251</v>
      </c>
      <c r="E391" s="30" t="s">
        <v>118</v>
      </c>
      <c r="G391" s="35" t="s">
        <v>145</v>
      </c>
      <c r="H391" s="35" t="s">
        <v>129</v>
      </c>
      <c r="I391" s="30" t="s">
        <v>121</v>
      </c>
      <c r="J391" s="30">
        <v>2</v>
      </c>
      <c r="K391" s="30" t="s">
        <v>35</v>
      </c>
      <c r="L391" s="30" t="s">
        <v>891</v>
      </c>
      <c r="M391" s="30" t="s">
        <v>108</v>
      </c>
    </row>
    <row r="392" spans="4:13" ht="15" customHeight="1">
      <c r="D392" s="30" t="s">
        <v>251</v>
      </c>
      <c r="E392" s="30" t="s">
        <v>122</v>
      </c>
      <c r="F392" s="35" t="s">
        <v>253</v>
      </c>
      <c r="I392" s="30" t="s">
        <v>124</v>
      </c>
      <c r="J392" s="30">
        <v>5</v>
      </c>
      <c r="K392" s="30" t="s">
        <v>35</v>
      </c>
      <c r="L392" s="30" t="s">
        <v>107</v>
      </c>
      <c r="M392" s="30" t="s">
        <v>108</v>
      </c>
    </row>
    <row r="393" spans="4:13" ht="15" customHeight="1">
      <c r="D393" s="30" t="s">
        <v>251</v>
      </c>
      <c r="E393" s="30" t="s">
        <v>104</v>
      </c>
      <c r="F393" s="35" t="s">
        <v>252</v>
      </c>
      <c r="I393" s="30" t="s">
        <v>106</v>
      </c>
      <c r="J393" s="30" t="s">
        <v>107</v>
      </c>
      <c r="K393" s="30" t="s">
        <v>35</v>
      </c>
      <c r="L393" s="30" t="s">
        <v>107</v>
      </c>
      <c r="M393" s="30" t="s">
        <v>108</v>
      </c>
    </row>
    <row r="394" spans="4:13" ht="15" customHeight="1">
      <c r="D394" s="30" t="s">
        <v>701</v>
      </c>
      <c r="E394" s="30" t="s">
        <v>109</v>
      </c>
      <c r="F394" s="35" t="s">
        <v>110</v>
      </c>
      <c r="I394" s="30" t="s">
        <v>111</v>
      </c>
      <c r="J394" s="30">
        <v>2</v>
      </c>
      <c r="K394" s="30" t="s">
        <v>35</v>
      </c>
      <c r="L394" s="30" t="s">
        <v>107</v>
      </c>
      <c r="M394" s="30" t="s">
        <v>108</v>
      </c>
    </row>
    <row r="395" spans="4:13" ht="15" customHeight="1">
      <c r="D395" s="30" t="s">
        <v>701</v>
      </c>
      <c r="E395" s="30" t="s">
        <v>118</v>
      </c>
      <c r="G395" s="35" t="s">
        <v>119</v>
      </c>
      <c r="H395" s="35" t="s">
        <v>120</v>
      </c>
      <c r="I395" s="30" t="s">
        <v>121</v>
      </c>
      <c r="J395" s="30">
        <v>2</v>
      </c>
      <c r="K395" s="30" t="s">
        <v>35</v>
      </c>
      <c r="L395" s="30" t="s">
        <v>891</v>
      </c>
      <c r="M395" s="30" t="s">
        <v>108</v>
      </c>
    </row>
    <row r="396" spans="4:13" ht="15" customHeight="1">
      <c r="D396" s="30" t="s">
        <v>701</v>
      </c>
      <c r="E396" s="30" t="s">
        <v>122</v>
      </c>
      <c r="F396" s="35" t="s">
        <v>123</v>
      </c>
      <c r="I396" s="30" t="s">
        <v>124</v>
      </c>
      <c r="J396" s="30">
        <v>5</v>
      </c>
      <c r="K396" s="30" t="s">
        <v>35</v>
      </c>
      <c r="L396" s="30" t="s">
        <v>107</v>
      </c>
      <c r="M396" s="30" t="s">
        <v>108</v>
      </c>
    </row>
    <row r="397" spans="4:13" ht="15.75" customHeight="1">
      <c r="D397" s="30" t="s">
        <v>701</v>
      </c>
      <c r="E397" s="30" t="s">
        <v>104</v>
      </c>
      <c r="F397" s="30" t="s">
        <v>117</v>
      </c>
      <c r="I397" s="30" t="s">
        <v>106</v>
      </c>
      <c r="J397" s="30">
        <v>2</v>
      </c>
      <c r="K397" s="30" t="s">
        <v>35</v>
      </c>
      <c r="L397" s="30" t="s">
        <v>107</v>
      </c>
      <c r="M397" s="30" t="s">
        <v>108</v>
      </c>
    </row>
    <row r="398" spans="4:13" ht="15" customHeight="1">
      <c r="D398" s="30" t="s">
        <v>660</v>
      </c>
      <c r="E398" s="30" t="s">
        <v>109</v>
      </c>
      <c r="F398" s="35" t="s">
        <v>110</v>
      </c>
      <c r="I398" s="30" t="s">
        <v>111</v>
      </c>
      <c r="J398" s="30">
        <v>2</v>
      </c>
      <c r="K398" s="30" t="s">
        <v>35</v>
      </c>
      <c r="L398" s="30" t="s">
        <v>107</v>
      </c>
      <c r="M398" s="30" t="s">
        <v>108</v>
      </c>
    </row>
    <row r="399" spans="4:13" ht="15" customHeight="1">
      <c r="D399" s="30" t="s">
        <v>660</v>
      </c>
      <c r="E399" s="30" t="s">
        <v>118</v>
      </c>
      <c r="G399" s="35" t="s">
        <v>129</v>
      </c>
      <c r="H399" s="35" t="s">
        <v>130</v>
      </c>
      <c r="I399" s="30" t="s">
        <v>121</v>
      </c>
      <c r="J399" s="30">
        <v>2</v>
      </c>
      <c r="K399" s="30" t="s">
        <v>35</v>
      </c>
      <c r="L399" s="30" t="s">
        <v>891</v>
      </c>
      <c r="M399" s="30" t="s">
        <v>108</v>
      </c>
    </row>
    <row r="400" spans="4:13" ht="15" customHeight="1">
      <c r="D400" s="30" t="s">
        <v>660</v>
      </c>
      <c r="E400" s="30" t="s">
        <v>122</v>
      </c>
      <c r="F400" s="35" t="s">
        <v>525</v>
      </c>
      <c r="I400" s="30" t="s">
        <v>124</v>
      </c>
      <c r="J400" s="30">
        <v>5</v>
      </c>
      <c r="K400" s="30" t="s">
        <v>35</v>
      </c>
      <c r="L400" s="30" t="s">
        <v>107</v>
      </c>
      <c r="M400" s="30" t="s">
        <v>108</v>
      </c>
    </row>
    <row r="401" spans="4:13" ht="15" customHeight="1">
      <c r="D401" s="30" t="s">
        <v>660</v>
      </c>
      <c r="E401" s="30" t="s">
        <v>104</v>
      </c>
      <c r="F401" s="30" t="s">
        <v>141</v>
      </c>
      <c r="I401" s="30" t="s">
        <v>106</v>
      </c>
      <c r="J401" s="30">
        <v>2</v>
      </c>
      <c r="K401" s="30" t="s">
        <v>35</v>
      </c>
      <c r="L401" s="30" t="s">
        <v>107</v>
      </c>
      <c r="M401" s="30" t="s">
        <v>108</v>
      </c>
    </row>
    <row r="402" spans="4:13" ht="15" customHeight="1">
      <c r="D402" s="30" t="s">
        <v>508</v>
      </c>
      <c r="E402" s="30" t="s">
        <v>109</v>
      </c>
      <c r="F402" s="35" t="s">
        <v>510</v>
      </c>
      <c r="I402" s="30" t="s">
        <v>111</v>
      </c>
      <c r="J402" s="30">
        <v>2</v>
      </c>
      <c r="K402" s="30" t="s">
        <v>35</v>
      </c>
      <c r="L402" s="30" t="s">
        <v>107</v>
      </c>
      <c r="M402" s="30" t="s">
        <v>108</v>
      </c>
    </row>
    <row r="403" spans="4:13" ht="15" customHeight="1">
      <c r="D403" s="30" t="s">
        <v>508</v>
      </c>
      <c r="E403" s="30" t="s">
        <v>131</v>
      </c>
      <c r="G403" s="35" t="s">
        <v>162</v>
      </c>
      <c r="H403" s="35" t="s">
        <v>163</v>
      </c>
      <c r="I403" s="30" t="s">
        <v>134</v>
      </c>
      <c r="J403" s="30">
        <v>5</v>
      </c>
      <c r="K403" s="30" t="s">
        <v>35</v>
      </c>
      <c r="L403" s="30" t="s">
        <v>891</v>
      </c>
      <c r="M403" s="30" t="s">
        <v>108</v>
      </c>
    </row>
    <row r="404" spans="4:13" ht="15" customHeight="1">
      <c r="D404" s="30" t="s">
        <v>508</v>
      </c>
      <c r="E404" s="30" t="s">
        <v>118</v>
      </c>
      <c r="G404" s="35" t="s">
        <v>129</v>
      </c>
      <c r="H404" s="35" t="s">
        <v>130</v>
      </c>
      <c r="I404" s="30" t="s">
        <v>121</v>
      </c>
      <c r="J404" s="30">
        <v>2</v>
      </c>
      <c r="K404" s="30" t="s">
        <v>35</v>
      </c>
      <c r="L404" s="30" t="s">
        <v>891</v>
      </c>
      <c r="M404" s="30" t="s">
        <v>108</v>
      </c>
    </row>
    <row r="405" spans="4:13" ht="15" customHeight="1">
      <c r="D405" s="30" t="s">
        <v>508</v>
      </c>
      <c r="E405" s="30" t="s">
        <v>122</v>
      </c>
      <c r="F405" s="35" t="s">
        <v>511</v>
      </c>
      <c r="I405" s="30" t="s">
        <v>124</v>
      </c>
      <c r="J405" s="30">
        <v>5</v>
      </c>
      <c r="K405" s="30" t="s">
        <v>35</v>
      </c>
      <c r="L405" s="30" t="s">
        <v>107</v>
      </c>
      <c r="M405" s="30" t="s">
        <v>108</v>
      </c>
    </row>
    <row r="406" spans="4:13" ht="15" customHeight="1">
      <c r="D406" s="30" t="s">
        <v>508</v>
      </c>
      <c r="E406" s="30" t="s">
        <v>104</v>
      </c>
      <c r="F406" s="35" t="s">
        <v>509</v>
      </c>
      <c r="I406" s="30" t="s">
        <v>106</v>
      </c>
      <c r="J406" s="30" t="s">
        <v>107</v>
      </c>
      <c r="K406" s="30" t="s">
        <v>35</v>
      </c>
      <c r="L406" s="30" t="s">
        <v>107</v>
      </c>
      <c r="M406" s="30" t="s">
        <v>108</v>
      </c>
    </row>
    <row r="407" spans="4:13" ht="15" customHeight="1">
      <c r="D407" s="30" t="s">
        <v>254</v>
      </c>
      <c r="E407" s="30" t="s">
        <v>109</v>
      </c>
      <c r="F407" s="35" t="s">
        <v>110</v>
      </c>
      <c r="I407" s="30" t="s">
        <v>111</v>
      </c>
      <c r="J407" s="30">
        <v>2</v>
      </c>
      <c r="K407" s="30" t="s">
        <v>35</v>
      </c>
      <c r="L407" s="30" t="s">
        <v>107</v>
      </c>
      <c r="M407" s="30" t="s">
        <v>108</v>
      </c>
    </row>
    <row r="408" spans="4:13" ht="15" customHeight="1">
      <c r="D408" s="30" t="s">
        <v>254</v>
      </c>
      <c r="E408" s="30" t="s">
        <v>131</v>
      </c>
      <c r="G408" s="35" t="s">
        <v>187</v>
      </c>
      <c r="H408" s="35" t="s">
        <v>163</v>
      </c>
      <c r="I408" s="30" t="s">
        <v>134</v>
      </c>
      <c r="J408" s="30">
        <v>5</v>
      </c>
      <c r="K408" s="30" t="s">
        <v>35</v>
      </c>
      <c r="L408" s="30" t="s">
        <v>135</v>
      </c>
      <c r="M408" s="30" t="s">
        <v>108</v>
      </c>
    </row>
    <row r="409" spans="4:13" ht="15" customHeight="1">
      <c r="D409" s="30" t="s">
        <v>254</v>
      </c>
      <c r="E409" s="30" t="s">
        <v>118</v>
      </c>
      <c r="G409" s="35" t="s">
        <v>145</v>
      </c>
      <c r="H409" s="35" t="s">
        <v>129</v>
      </c>
      <c r="I409" s="30" t="s">
        <v>121</v>
      </c>
      <c r="J409" s="30">
        <v>2</v>
      </c>
      <c r="K409" s="30" t="s">
        <v>35</v>
      </c>
      <c r="L409" s="30" t="s">
        <v>891</v>
      </c>
      <c r="M409" s="30" t="s">
        <v>108</v>
      </c>
    </row>
    <row r="410" spans="4:13" ht="15" customHeight="1">
      <c r="D410" s="30" t="s">
        <v>254</v>
      </c>
      <c r="E410" s="30" t="s">
        <v>122</v>
      </c>
      <c r="F410" s="35" t="s">
        <v>256</v>
      </c>
      <c r="I410" s="30" t="s">
        <v>124</v>
      </c>
      <c r="J410" s="30">
        <v>5</v>
      </c>
      <c r="K410" s="30" t="s">
        <v>35</v>
      </c>
      <c r="L410" s="30" t="s">
        <v>107</v>
      </c>
      <c r="M410" s="30" t="s">
        <v>108</v>
      </c>
    </row>
    <row r="411" spans="4:13" ht="15" customHeight="1">
      <c r="D411" s="30" t="s">
        <v>254</v>
      </c>
      <c r="E411" s="30" t="s">
        <v>104</v>
      </c>
      <c r="F411" s="35" t="s">
        <v>255</v>
      </c>
      <c r="I411" s="30" t="s">
        <v>106</v>
      </c>
      <c r="J411" s="30" t="s">
        <v>107</v>
      </c>
      <c r="K411" s="30" t="s">
        <v>35</v>
      </c>
      <c r="L411" s="30" t="s">
        <v>107</v>
      </c>
      <c r="M411" s="30" t="s">
        <v>108</v>
      </c>
    </row>
    <row r="412" spans="4:13" ht="15" customHeight="1">
      <c r="D412" s="30" t="s">
        <v>259</v>
      </c>
      <c r="E412" s="30" t="s">
        <v>109</v>
      </c>
      <c r="F412" s="35" t="s">
        <v>110</v>
      </c>
      <c r="I412" s="30" t="s">
        <v>111</v>
      </c>
      <c r="J412" s="30">
        <v>2</v>
      </c>
      <c r="K412" s="30" t="s">
        <v>35</v>
      </c>
      <c r="L412" s="30" t="s">
        <v>107</v>
      </c>
      <c r="M412" s="30" t="s">
        <v>108</v>
      </c>
    </row>
    <row r="413" spans="4:13" ht="15" customHeight="1">
      <c r="D413" s="30" t="s">
        <v>259</v>
      </c>
      <c r="E413" s="30" t="s">
        <v>131</v>
      </c>
      <c r="G413" s="35" t="s">
        <v>150</v>
      </c>
      <c r="I413" s="30" t="s">
        <v>134</v>
      </c>
      <c r="J413" s="30">
        <v>5</v>
      </c>
      <c r="K413" s="30" t="s">
        <v>35</v>
      </c>
      <c r="L413" s="30" t="s">
        <v>135</v>
      </c>
      <c r="M413" s="30" t="s">
        <v>108</v>
      </c>
    </row>
    <row r="414" spans="4:13" ht="15" customHeight="1">
      <c r="D414" s="30" t="s">
        <v>259</v>
      </c>
      <c r="E414" s="30" t="s">
        <v>118</v>
      </c>
      <c r="G414" s="35" t="s">
        <v>129</v>
      </c>
      <c r="H414" s="35" t="s">
        <v>130</v>
      </c>
      <c r="I414" s="30" t="s">
        <v>121</v>
      </c>
      <c r="J414" s="30">
        <v>2</v>
      </c>
      <c r="K414" s="30" t="s">
        <v>35</v>
      </c>
      <c r="L414" s="30" t="s">
        <v>891</v>
      </c>
      <c r="M414" s="30" t="s">
        <v>108</v>
      </c>
    </row>
    <row r="415" spans="4:13" ht="15" customHeight="1">
      <c r="D415" s="30" t="s">
        <v>259</v>
      </c>
      <c r="E415" s="30" t="s">
        <v>122</v>
      </c>
      <c r="F415" s="35" t="s">
        <v>238</v>
      </c>
      <c r="I415" s="30" t="s">
        <v>124</v>
      </c>
      <c r="J415" s="30">
        <v>5</v>
      </c>
      <c r="K415" s="30" t="s">
        <v>35</v>
      </c>
      <c r="L415" s="30" t="s">
        <v>107</v>
      </c>
      <c r="M415" s="30" t="s">
        <v>108</v>
      </c>
    </row>
    <row r="416" spans="4:13" ht="15" customHeight="1">
      <c r="D416" s="30" t="s">
        <v>259</v>
      </c>
      <c r="E416" s="30" t="s">
        <v>104</v>
      </c>
      <c r="F416" s="35" t="s">
        <v>236</v>
      </c>
      <c r="I416" s="30" t="s">
        <v>106</v>
      </c>
      <c r="J416" s="30" t="s">
        <v>107</v>
      </c>
      <c r="K416" s="30" t="s">
        <v>35</v>
      </c>
      <c r="L416" s="30" t="s">
        <v>107</v>
      </c>
      <c r="M416" s="30" t="s">
        <v>108</v>
      </c>
    </row>
    <row r="417" spans="4:13" ht="15" customHeight="1">
      <c r="D417" s="30" t="s">
        <v>260</v>
      </c>
      <c r="E417" s="30" t="s">
        <v>109</v>
      </c>
      <c r="F417" s="35" t="s">
        <v>110</v>
      </c>
      <c r="I417" s="30" t="s">
        <v>111</v>
      </c>
      <c r="J417" s="30">
        <v>2</v>
      </c>
      <c r="K417" s="30" t="s">
        <v>35</v>
      </c>
      <c r="L417" s="30" t="s">
        <v>107</v>
      </c>
      <c r="M417" s="30" t="s">
        <v>108</v>
      </c>
    </row>
    <row r="418" spans="4:13" ht="15" customHeight="1">
      <c r="D418" s="30" t="s">
        <v>260</v>
      </c>
      <c r="E418" s="30" t="s">
        <v>104</v>
      </c>
      <c r="F418" s="35" t="s">
        <v>261</v>
      </c>
      <c r="I418" s="133" t="s">
        <v>111</v>
      </c>
      <c r="J418" s="95">
        <v>1</v>
      </c>
      <c r="K418" s="30" t="s">
        <v>35</v>
      </c>
      <c r="L418" s="30" t="s">
        <v>107</v>
      </c>
      <c r="M418" s="30" t="s">
        <v>108</v>
      </c>
    </row>
    <row r="419" spans="4:13" ht="15" customHeight="1">
      <c r="D419" s="30" t="s">
        <v>262</v>
      </c>
      <c r="E419" s="30" t="s">
        <v>109</v>
      </c>
      <c r="F419" s="35" t="s">
        <v>110</v>
      </c>
      <c r="I419" s="30" t="s">
        <v>111</v>
      </c>
      <c r="J419" s="30">
        <v>2</v>
      </c>
      <c r="K419" s="30" t="s">
        <v>35</v>
      </c>
      <c r="L419" s="30" t="s">
        <v>107</v>
      </c>
      <c r="M419" s="30" t="s">
        <v>108</v>
      </c>
    </row>
    <row r="420" spans="4:13" ht="15" customHeight="1">
      <c r="D420" s="30" t="s">
        <v>262</v>
      </c>
      <c r="E420" s="30" t="s">
        <v>131</v>
      </c>
      <c r="G420" s="35" t="s">
        <v>150</v>
      </c>
      <c r="H420" s="35" t="s">
        <v>266</v>
      </c>
      <c r="I420" s="30" t="s">
        <v>134</v>
      </c>
      <c r="J420" s="30">
        <v>5</v>
      </c>
      <c r="K420" s="30" t="s">
        <v>35</v>
      </c>
      <c r="L420" s="30" t="s">
        <v>135</v>
      </c>
      <c r="M420" s="30" t="s">
        <v>108</v>
      </c>
    </row>
    <row r="421" spans="4:13" ht="15" customHeight="1">
      <c r="D421" s="30" t="s">
        <v>262</v>
      </c>
      <c r="E421" s="30" t="s">
        <v>118</v>
      </c>
      <c r="G421" s="35" t="s">
        <v>264</v>
      </c>
      <c r="H421" s="35" t="s">
        <v>265</v>
      </c>
      <c r="I421" s="30" t="s">
        <v>121</v>
      </c>
      <c r="J421" s="30">
        <v>2</v>
      </c>
      <c r="K421" s="30" t="s">
        <v>35</v>
      </c>
      <c r="L421" s="30" t="s">
        <v>891</v>
      </c>
      <c r="M421" s="30" t="s">
        <v>108</v>
      </c>
    </row>
    <row r="422" spans="4:13" ht="15" customHeight="1">
      <c r="D422" s="30" t="s">
        <v>262</v>
      </c>
      <c r="E422" s="30" t="s">
        <v>122</v>
      </c>
      <c r="F422" s="35" t="s">
        <v>267</v>
      </c>
      <c r="I422" s="30" t="s">
        <v>124</v>
      </c>
      <c r="J422" s="30">
        <v>5</v>
      </c>
      <c r="K422" s="30" t="s">
        <v>35</v>
      </c>
      <c r="L422" s="30" t="s">
        <v>107</v>
      </c>
      <c r="M422" s="30" t="s">
        <v>108</v>
      </c>
    </row>
    <row r="423" spans="4:13" ht="15" customHeight="1">
      <c r="D423" s="30" t="s">
        <v>262</v>
      </c>
      <c r="E423" s="30" t="s">
        <v>104</v>
      </c>
      <c r="F423" s="35" t="s">
        <v>263</v>
      </c>
      <c r="I423" s="30" t="s">
        <v>106</v>
      </c>
      <c r="J423" s="30" t="s">
        <v>107</v>
      </c>
      <c r="K423" s="30" t="s">
        <v>35</v>
      </c>
      <c r="L423" s="30" t="s">
        <v>107</v>
      </c>
      <c r="M423" s="30" t="s">
        <v>108</v>
      </c>
    </row>
    <row r="424" spans="4:13" ht="15" customHeight="1">
      <c r="D424" s="30" t="s">
        <v>268</v>
      </c>
      <c r="E424" s="30" t="s">
        <v>109</v>
      </c>
      <c r="F424" s="35" t="s">
        <v>110</v>
      </c>
      <c r="I424" s="30" t="s">
        <v>111</v>
      </c>
      <c r="J424" s="30">
        <v>2</v>
      </c>
      <c r="K424" s="30" t="s">
        <v>35</v>
      </c>
      <c r="L424" s="30" t="s">
        <v>107</v>
      </c>
      <c r="M424" s="30" t="s">
        <v>108</v>
      </c>
    </row>
    <row r="425" spans="4:13" ht="15" customHeight="1">
      <c r="D425" s="30" t="s">
        <v>268</v>
      </c>
      <c r="E425" s="30" t="s">
        <v>131</v>
      </c>
      <c r="G425" s="35" t="s">
        <v>162</v>
      </c>
      <c r="H425" s="35" t="s">
        <v>163</v>
      </c>
      <c r="I425" s="30" t="s">
        <v>134</v>
      </c>
      <c r="J425" s="30">
        <v>5</v>
      </c>
      <c r="K425" s="30" t="s">
        <v>35</v>
      </c>
      <c r="L425" s="30" t="s">
        <v>135</v>
      </c>
      <c r="M425" s="30" t="s">
        <v>108</v>
      </c>
    </row>
    <row r="426" spans="4:13" ht="15" customHeight="1">
      <c r="D426" s="30" t="s">
        <v>268</v>
      </c>
      <c r="E426" s="30" t="s">
        <v>118</v>
      </c>
      <c r="G426" s="35" t="s">
        <v>129</v>
      </c>
      <c r="H426" s="35" t="s">
        <v>130</v>
      </c>
      <c r="I426" s="30" t="s">
        <v>121</v>
      </c>
      <c r="J426" s="30">
        <v>2</v>
      </c>
      <c r="K426" s="30" t="s">
        <v>35</v>
      </c>
      <c r="L426" s="30" t="s">
        <v>891</v>
      </c>
      <c r="M426" s="30" t="s">
        <v>108</v>
      </c>
    </row>
    <row r="427" spans="4:13" ht="15" customHeight="1">
      <c r="D427" s="30" t="s">
        <v>268</v>
      </c>
      <c r="E427" s="30" t="s">
        <v>122</v>
      </c>
      <c r="F427" s="35" t="s">
        <v>172</v>
      </c>
      <c r="I427" s="30" t="s">
        <v>124</v>
      </c>
      <c r="J427" s="30">
        <v>5</v>
      </c>
      <c r="K427" s="30" t="s">
        <v>35</v>
      </c>
      <c r="L427" s="30" t="s">
        <v>107</v>
      </c>
      <c r="M427" s="30" t="s">
        <v>108</v>
      </c>
    </row>
    <row r="428" spans="4:13" ht="15" customHeight="1">
      <c r="D428" s="30" t="s">
        <v>268</v>
      </c>
      <c r="E428" s="30" t="s">
        <v>104</v>
      </c>
      <c r="F428" s="35" t="s">
        <v>263</v>
      </c>
      <c r="I428" s="30" t="s">
        <v>106</v>
      </c>
      <c r="J428" s="30" t="s">
        <v>107</v>
      </c>
      <c r="K428" s="30" t="s">
        <v>35</v>
      </c>
      <c r="L428" s="30" t="s">
        <v>107</v>
      </c>
      <c r="M428" s="30" t="s">
        <v>108</v>
      </c>
    </row>
    <row r="429" spans="4:13" ht="15" customHeight="1">
      <c r="D429" s="30" t="s">
        <v>269</v>
      </c>
      <c r="E429" s="30" t="s">
        <v>109</v>
      </c>
      <c r="F429" s="35" t="s">
        <v>110</v>
      </c>
      <c r="I429" s="30" t="s">
        <v>111</v>
      </c>
      <c r="J429" s="30">
        <v>2</v>
      </c>
      <c r="K429" s="30" t="s">
        <v>35</v>
      </c>
      <c r="L429" s="30" t="s">
        <v>107</v>
      </c>
      <c r="M429" s="30" t="s">
        <v>108</v>
      </c>
    </row>
    <row r="430" spans="4:13" ht="15" customHeight="1">
      <c r="D430" s="30" t="s">
        <v>269</v>
      </c>
      <c r="E430" s="30" t="s">
        <v>131</v>
      </c>
      <c r="G430" s="35" t="s">
        <v>132</v>
      </c>
      <c r="H430" s="35" t="s">
        <v>133</v>
      </c>
      <c r="I430" s="30" t="s">
        <v>134</v>
      </c>
      <c r="J430" s="30">
        <v>5</v>
      </c>
      <c r="K430" s="30" t="s">
        <v>35</v>
      </c>
      <c r="L430" s="30" t="s">
        <v>135</v>
      </c>
      <c r="M430" s="30" t="s">
        <v>108</v>
      </c>
    </row>
    <row r="431" spans="4:13" ht="15" customHeight="1">
      <c r="D431" s="30" t="s">
        <v>269</v>
      </c>
      <c r="E431" s="30" t="s">
        <v>118</v>
      </c>
      <c r="G431" s="35" t="s">
        <v>195</v>
      </c>
      <c r="H431" s="35" t="s">
        <v>119</v>
      </c>
      <c r="I431" s="30" t="s">
        <v>121</v>
      </c>
      <c r="J431" s="30">
        <v>2</v>
      </c>
      <c r="K431" s="30" t="s">
        <v>35</v>
      </c>
      <c r="L431" s="30" t="s">
        <v>891</v>
      </c>
      <c r="M431" s="30" t="s">
        <v>108</v>
      </c>
    </row>
    <row r="432" spans="4:13" ht="15" customHeight="1">
      <c r="D432" s="30" t="s">
        <v>269</v>
      </c>
      <c r="E432" s="30" t="s">
        <v>122</v>
      </c>
      <c r="F432" s="35" t="s">
        <v>271</v>
      </c>
      <c r="I432" s="30" t="s">
        <v>124</v>
      </c>
      <c r="J432" s="30">
        <v>5</v>
      </c>
      <c r="K432" s="30" t="s">
        <v>35</v>
      </c>
      <c r="L432" s="30" t="s">
        <v>107</v>
      </c>
      <c r="M432" s="30" t="s">
        <v>108</v>
      </c>
    </row>
    <row r="433" spans="4:13" ht="15" customHeight="1">
      <c r="D433" s="30" t="s">
        <v>269</v>
      </c>
      <c r="E433" s="30" t="s">
        <v>104</v>
      </c>
      <c r="F433" s="35" t="s">
        <v>270</v>
      </c>
      <c r="I433" s="30" t="s">
        <v>106</v>
      </c>
      <c r="J433" s="30" t="s">
        <v>107</v>
      </c>
      <c r="K433" s="30" t="s">
        <v>35</v>
      </c>
      <c r="L433" s="30" t="s">
        <v>107</v>
      </c>
      <c r="M433" s="30" t="s">
        <v>108</v>
      </c>
    </row>
    <row r="434" spans="4:13" ht="15" customHeight="1">
      <c r="D434" s="30" t="s">
        <v>662</v>
      </c>
      <c r="E434" s="30" t="s">
        <v>109</v>
      </c>
      <c r="F434" s="35" t="s">
        <v>110</v>
      </c>
      <c r="I434" s="30" t="s">
        <v>111</v>
      </c>
      <c r="J434" s="30">
        <v>2</v>
      </c>
      <c r="K434" s="30" t="s">
        <v>35</v>
      </c>
      <c r="L434" s="30" t="s">
        <v>107</v>
      </c>
      <c r="M434" s="30" t="s">
        <v>108</v>
      </c>
    </row>
    <row r="435" spans="4:13" ht="15" customHeight="1">
      <c r="D435" s="30" t="s">
        <v>662</v>
      </c>
      <c r="E435" s="30" t="s">
        <v>131</v>
      </c>
      <c r="G435" s="35" t="s">
        <v>132</v>
      </c>
      <c r="H435" s="35" t="s">
        <v>133</v>
      </c>
      <c r="I435" s="30" t="s">
        <v>134</v>
      </c>
      <c r="J435" s="30">
        <v>5</v>
      </c>
      <c r="K435" s="30" t="s">
        <v>35</v>
      </c>
      <c r="L435" s="30" t="s">
        <v>135</v>
      </c>
      <c r="M435" s="30" t="s">
        <v>108</v>
      </c>
    </row>
    <row r="436" spans="4:13" ht="15" customHeight="1">
      <c r="D436" s="30" t="s">
        <v>662</v>
      </c>
      <c r="E436" s="30" t="s">
        <v>118</v>
      </c>
      <c r="G436" s="35" t="s">
        <v>120</v>
      </c>
      <c r="H436" s="35" t="s">
        <v>130</v>
      </c>
      <c r="I436" s="30" t="s">
        <v>121</v>
      </c>
      <c r="J436" s="30">
        <v>2</v>
      </c>
      <c r="K436" s="30" t="s">
        <v>35</v>
      </c>
      <c r="L436" s="30" t="s">
        <v>891</v>
      </c>
      <c r="M436" s="30" t="s">
        <v>108</v>
      </c>
    </row>
    <row r="437" spans="4:13" ht="15" customHeight="1">
      <c r="D437" s="30" t="s">
        <v>662</v>
      </c>
      <c r="E437" s="30" t="s">
        <v>122</v>
      </c>
      <c r="F437" s="35" t="s">
        <v>664</v>
      </c>
      <c r="I437" s="30" t="s">
        <v>124</v>
      </c>
      <c r="J437" s="30">
        <v>5</v>
      </c>
      <c r="K437" s="30" t="s">
        <v>35</v>
      </c>
      <c r="L437" s="30" t="s">
        <v>107</v>
      </c>
      <c r="M437" s="30" t="s">
        <v>108</v>
      </c>
    </row>
    <row r="438" spans="4:13" ht="15" customHeight="1">
      <c r="D438" s="30" t="s">
        <v>662</v>
      </c>
      <c r="E438" s="30" t="s">
        <v>104</v>
      </c>
      <c r="F438" s="30" t="s">
        <v>663</v>
      </c>
      <c r="I438" s="30" t="s">
        <v>106</v>
      </c>
      <c r="J438" s="30">
        <v>2</v>
      </c>
      <c r="K438" s="30" t="s">
        <v>35</v>
      </c>
      <c r="L438" s="30" t="s">
        <v>107</v>
      </c>
      <c r="M438" s="30" t="s">
        <v>108</v>
      </c>
    </row>
    <row r="439" spans="4:13" ht="15" customHeight="1">
      <c r="D439" s="30" t="s">
        <v>606</v>
      </c>
      <c r="E439" s="30" t="s">
        <v>109</v>
      </c>
      <c r="F439" s="35" t="s">
        <v>110</v>
      </c>
      <c r="I439" s="30" t="s">
        <v>111</v>
      </c>
      <c r="J439" s="30">
        <v>2</v>
      </c>
      <c r="K439" s="30" t="s">
        <v>35</v>
      </c>
      <c r="L439" s="30" t="s">
        <v>107</v>
      </c>
      <c r="M439" s="30" t="s">
        <v>108</v>
      </c>
    </row>
    <row r="440" spans="4:13" ht="15" customHeight="1">
      <c r="D440" s="30" t="s">
        <v>606</v>
      </c>
      <c r="E440" s="30" t="s">
        <v>118</v>
      </c>
      <c r="G440" s="35" t="s">
        <v>129</v>
      </c>
      <c r="H440" s="35" t="s">
        <v>130</v>
      </c>
      <c r="I440" s="30" t="s">
        <v>121</v>
      </c>
      <c r="J440" s="30">
        <v>2</v>
      </c>
      <c r="K440" s="30" t="s">
        <v>35</v>
      </c>
      <c r="L440" s="30" t="s">
        <v>891</v>
      </c>
      <c r="M440" s="30" t="s">
        <v>108</v>
      </c>
    </row>
    <row r="441" spans="4:13" ht="15" customHeight="1">
      <c r="D441" s="30" t="s">
        <v>606</v>
      </c>
      <c r="E441" s="30" t="s">
        <v>122</v>
      </c>
      <c r="F441" s="35" t="s">
        <v>238</v>
      </c>
      <c r="I441" s="30" t="s">
        <v>124</v>
      </c>
      <c r="J441" s="30">
        <v>5</v>
      </c>
      <c r="K441" s="30" t="s">
        <v>35</v>
      </c>
      <c r="L441" s="30" t="s">
        <v>107</v>
      </c>
      <c r="M441" s="30" t="s">
        <v>108</v>
      </c>
    </row>
    <row r="442" spans="4:13" ht="15" customHeight="1">
      <c r="D442" s="30" t="s">
        <v>606</v>
      </c>
      <c r="E442" s="30" t="s">
        <v>104</v>
      </c>
      <c r="F442" s="30" t="s">
        <v>179</v>
      </c>
      <c r="I442" s="30" t="s">
        <v>106</v>
      </c>
      <c r="J442" s="30" t="s">
        <v>107</v>
      </c>
      <c r="K442" s="30" t="s">
        <v>35</v>
      </c>
      <c r="L442" s="30" t="s">
        <v>107</v>
      </c>
      <c r="M442" s="30" t="s">
        <v>108</v>
      </c>
    </row>
    <row r="443" spans="4:13" ht="15" customHeight="1">
      <c r="D443" s="30" t="s">
        <v>564</v>
      </c>
      <c r="E443" s="30" t="s">
        <v>109</v>
      </c>
      <c r="F443" s="35" t="s">
        <v>110</v>
      </c>
      <c r="I443" s="30" t="s">
        <v>111</v>
      </c>
      <c r="J443" s="30">
        <v>2</v>
      </c>
      <c r="K443" s="30" t="s">
        <v>35</v>
      </c>
      <c r="L443" s="30" t="s">
        <v>107</v>
      </c>
      <c r="M443" s="30" t="s">
        <v>108</v>
      </c>
    </row>
    <row r="444" spans="4:13" ht="15" customHeight="1">
      <c r="D444" s="30" t="s">
        <v>564</v>
      </c>
      <c r="E444" s="30" t="s">
        <v>118</v>
      </c>
      <c r="G444" s="35" t="s">
        <v>142</v>
      </c>
      <c r="H444" s="35" t="s">
        <v>129</v>
      </c>
      <c r="I444" s="30" t="s">
        <v>121</v>
      </c>
      <c r="J444" s="30">
        <v>2</v>
      </c>
      <c r="K444" s="30" t="s">
        <v>35</v>
      </c>
      <c r="L444" s="30" t="s">
        <v>891</v>
      </c>
      <c r="M444" s="30" t="s">
        <v>108</v>
      </c>
    </row>
    <row r="445" spans="4:13" ht="15" customHeight="1">
      <c r="D445" s="30" t="s">
        <v>564</v>
      </c>
      <c r="E445" s="30" t="s">
        <v>122</v>
      </c>
      <c r="F445" s="35" t="s">
        <v>183</v>
      </c>
      <c r="I445" s="30" t="s">
        <v>124</v>
      </c>
      <c r="J445" s="30">
        <v>5</v>
      </c>
      <c r="K445" s="30" t="s">
        <v>35</v>
      </c>
      <c r="L445" s="30" t="s">
        <v>107</v>
      </c>
      <c r="M445" s="30" t="s">
        <v>108</v>
      </c>
    </row>
    <row r="446" spans="4:13" ht="15" customHeight="1">
      <c r="D446" s="30" t="s">
        <v>564</v>
      </c>
      <c r="E446" s="30" t="s">
        <v>104</v>
      </c>
      <c r="F446" s="30" t="s">
        <v>565</v>
      </c>
      <c r="I446" s="30" t="s">
        <v>106</v>
      </c>
      <c r="J446" s="30" t="s">
        <v>107</v>
      </c>
      <c r="K446" s="30" t="s">
        <v>35</v>
      </c>
      <c r="L446" s="30" t="s">
        <v>107</v>
      </c>
      <c r="M446" s="30" t="s">
        <v>108</v>
      </c>
    </row>
    <row r="447" spans="4:13" ht="15" customHeight="1">
      <c r="D447" s="30" t="s">
        <v>274</v>
      </c>
      <c r="E447" s="30" t="s">
        <v>109</v>
      </c>
      <c r="F447" s="35" t="s">
        <v>110</v>
      </c>
      <c r="I447" s="30" t="s">
        <v>111</v>
      </c>
      <c r="J447" s="30">
        <v>2</v>
      </c>
      <c r="K447" s="30" t="s">
        <v>35</v>
      </c>
      <c r="L447" s="30" t="s">
        <v>107</v>
      </c>
      <c r="M447" s="30" t="s">
        <v>108</v>
      </c>
    </row>
    <row r="448" spans="4:13" ht="15" customHeight="1">
      <c r="D448" s="30" t="s">
        <v>274</v>
      </c>
      <c r="E448" s="30" t="s">
        <v>131</v>
      </c>
      <c r="G448" s="35" t="s">
        <v>162</v>
      </c>
      <c r="H448" s="35" t="s">
        <v>163</v>
      </c>
      <c r="I448" s="30" t="s">
        <v>134</v>
      </c>
      <c r="J448" s="30">
        <v>5</v>
      </c>
      <c r="K448" s="30" t="s">
        <v>35</v>
      </c>
      <c r="L448" s="30" t="s">
        <v>135</v>
      </c>
      <c r="M448" s="30" t="s">
        <v>108</v>
      </c>
    </row>
    <row r="449" spans="4:13" ht="15" customHeight="1">
      <c r="D449" s="30" t="s">
        <v>274</v>
      </c>
      <c r="E449" s="30" t="s">
        <v>118</v>
      </c>
      <c r="G449" s="35" t="s">
        <v>195</v>
      </c>
      <c r="H449" s="35" t="s">
        <v>119</v>
      </c>
      <c r="I449" s="30" t="s">
        <v>121</v>
      </c>
      <c r="J449" s="30">
        <v>2</v>
      </c>
      <c r="K449" s="30" t="s">
        <v>35</v>
      </c>
      <c r="L449" s="30" t="s">
        <v>891</v>
      </c>
      <c r="M449" s="30" t="s">
        <v>108</v>
      </c>
    </row>
    <row r="450" spans="4:13" ht="15" customHeight="1">
      <c r="D450" s="30" t="s">
        <v>274</v>
      </c>
      <c r="E450" s="30" t="s">
        <v>104</v>
      </c>
      <c r="F450" s="35" t="s">
        <v>275</v>
      </c>
      <c r="I450" s="30" t="s">
        <v>106</v>
      </c>
      <c r="J450" s="30" t="s">
        <v>107</v>
      </c>
      <c r="K450" s="30" t="s">
        <v>35</v>
      </c>
      <c r="L450" s="30" t="s">
        <v>107</v>
      </c>
      <c r="M450" s="30" t="s">
        <v>108</v>
      </c>
    </row>
    <row r="451" spans="4:13" ht="15" customHeight="1">
      <c r="D451" s="30" t="s">
        <v>655</v>
      </c>
      <c r="E451" s="30" t="s">
        <v>109</v>
      </c>
      <c r="F451" s="35" t="s">
        <v>110</v>
      </c>
      <c r="I451" s="30" t="s">
        <v>111</v>
      </c>
      <c r="J451" s="30">
        <v>2</v>
      </c>
      <c r="K451" s="30" t="s">
        <v>35</v>
      </c>
      <c r="L451" s="30" t="s">
        <v>107</v>
      </c>
      <c r="M451" s="30" t="s">
        <v>108</v>
      </c>
    </row>
    <row r="452" spans="4:13" ht="15" customHeight="1">
      <c r="D452" s="30" t="s">
        <v>655</v>
      </c>
      <c r="E452" s="30" t="s">
        <v>131</v>
      </c>
      <c r="G452" s="35" t="s">
        <v>162</v>
      </c>
      <c r="H452" s="35" t="s">
        <v>163</v>
      </c>
      <c r="I452" s="30" t="s">
        <v>134</v>
      </c>
      <c r="J452" s="30">
        <v>5</v>
      </c>
      <c r="K452" s="30" t="s">
        <v>35</v>
      </c>
      <c r="L452" s="30" t="s">
        <v>135</v>
      </c>
      <c r="M452" s="30" t="s">
        <v>108</v>
      </c>
    </row>
    <row r="453" spans="4:13" ht="15" customHeight="1">
      <c r="D453" s="30" t="s">
        <v>655</v>
      </c>
      <c r="E453" s="30" t="s">
        <v>118</v>
      </c>
      <c r="G453" s="35" t="s">
        <v>142</v>
      </c>
      <c r="H453" s="35" t="s">
        <v>129</v>
      </c>
      <c r="I453" s="30" t="s">
        <v>121</v>
      </c>
      <c r="J453" s="30">
        <v>2</v>
      </c>
      <c r="K453" s="30" t="s">
        <v>35</v>
      </c>
      <c r="L453" s="30" t="s">
        <v>891</v>
      </c>
      <c r="M453" s="30" t="s">
        <v>108</v>
      </c>
    </row>
    <row r="454" spans="4:13" ht="15" customHeight="1">
      <c r="D454" s="30" t="s">
        <v>655</v>
      </c>
      <c r="E454" s="30" t="s">
        <v>122</v>
      </c>
      <c r="F454" s="35" t="s">
        <v>525</v>
      </c>
      <c r="I454" s="30" t="s">
        <v>124</v>
      </c>
      <c r="J454" s="30">
        <v>5</v>
      </c>
      <c r="K454" s="30" t="s">
        <v>35</v>
      </c>
      <c r="L454" s="30" t="s">
        <v>107</v>
      </c>
      <c r="M454" s="30" t="s">
        <v>108</v>
      </c>
    </row>
    <row r="455" spans="4:13" ht="15" customHeight="1">
      <c r="D455" s="30" t="s">
        <v>655</v>
      </c>
      <c r="E455" s="30" t="s">
        <v>104</v>
      </c>
      <c r="F455" s="30" t="s">
        <v>141</v>
      </c>
      <c r="I455" s="30" t="s">
        <v>106</v>
      </c>
      <c r="J455" s="30">
        <v>2</v>
      </c>
      <c r="K455" s="30" t="s">
        <v>35</v>
      </c>
      <c r="L455" s="30" t="s">
        <v>107</v>
      </c>
      <c r="M455" s="30" t="s">
        <v>108</v>
      </c>
    </row>
    <row r="456" spans="4:13" ht="15" customHeight="1">
      <c r="D456" s="30" t="s">
        <v>590</v>
      </c>
      <c r="E456" s="30" t="s">
        <v>109</v>
      </c>
      <c r="F456" s="35" t="s">
        <v>110</v>
      </c>
      <c r="I456" s="30" t="s">
        <v>111</v>
      </c>
      <c r="J456" s="30">
        <v>2</v>
      </c>
      <c r="K456" s="30" t="s">
        <v>35</v>
      </c>
      <c r="L456" s="30" t="s">
        <v>107</v>
      </c>
      <c r="M456" s="30" t="s">
        <v>108</v>
      </c>
    </row>
    <row r="457" spans="4:13" ht="15" customHeight="1">
      <c r="D457" s="30" t="s">
        <v>590</v>
      </c>
      <c r="E457" s="30" t="s">
        <v>118</v>
      </c>
      <c r="G457" s="35" t="s">
        <v>142</v>
      </c>
      <c r="H457" s="35" t="s">
        <v>129</v>
      </c>
      <c r="I457" s="30" t="s">
        <v>121</v>
      </c>
      <c r="J457" s="30">
        <v>2</v>
      </c>
      <c r="K457" s="30" t="s">
        <v>35</v>
      </c>
      <c r="L457" s="30" t="s">
        <v>891</v>
      </c>
      <c r="M457" s="30" t="s">
        <v>108</v>
      </c>
    </row>
    <row r="458" spans="4:13" ht="15" customHeight="1">
      <c r="D458" s="30" t="s">
        <v>590</v>
      </c>
      <c r="E458" s="30" t="s">
        <v>122</v>
      </c>
      <c r="F458" s="35" t="s">
        <v>126</v>
      </c>
      <c r="I458" s="30" t="s">
        <v>124</v>
      </c>
      <c r="J458" s="30">
        <v>5</v>
      </c>
      <c r="K458" s="30" t="s">
        <v>35</v>
      </c>
      <c r="L458" s="30" t="s">
        <v>107</v>
      </c>
      <c r="M458" s="30" t="s">
        <v>108</v>
      </c>
    </row>
    <row r="459" spans="4:13" ht="15" customHeight="1">
      <c r="D459" s="30" t="s">
        <v>590</v>
      </c>
      <c r="E459" s="30" t="s">
        <v>104</v>
      </c>
      <c r="F459" s="30" t="s">
        <v>141</v>
      </c>
      <c r="I459" s="30" t="s">
        <v>106</v>
      </c>
      <c r="J459" s="30" t="s">
        <v>107</v>
      </c>
      <c r="K459" s="30" t="s">
        <v>35</v>
      </c>
      <c r="L459" s="30" t="s">
        <v>107</v>
      </c>
      <c r="M459" s="30" t="s">
        <v>108</v>
      </c>
    </row>
    <row r="460" spans="4:13" ht="15" customHeight="1">
      <c r="D460" s="30" t="s">
        <v>278</v>
      </c>
      <c r="E460" s="30" t="s">
        <v>109</v>
      </c>
      <c r="F460" s="35" t="s">
        <v>110</v>
      </c>
      <c r="I460" s="30" t="s">
        <v>111</v>
      </c>
      <c r="J460" s="30">
        <v>2</v>
      </c>
      <c r="K460" s="30" t="s">
        <v>35</v>
      </c>
      <c r="L460" s="30" t="s">
        <v>107</v>
      </c>
      <c r="M460" s="30" t="s">
        <v>108</v>
      </c>
    </row>
    <row r="461" spans="4:13" ht="15" customHeight="1">
      <c r="D461" s="30" t="s">
        <v>278</v>
      </c>
      <c r="E461" s="30" t="s">
        <v>131</v>
      </c>
      <c r="G461" s="35" t="s">
        <v>187</v>
      </c>
      <c r="H461" s="35" t="s">
        <v>176</v>
      </c>
      <c r="I461" s="30" t="s">
        <v>134</v>
      </c>
      <c r="J461" s="30">
        <v>5</v>
      </c>
      <c r="K461" s="30" t="s">
        <v>35</v>
      </c>
      <c r="L461" s="30" t="s">
        <v>135</v>
      </c>
      <c r="M461" s="30" t="s">
        <v>108</v>
      </c>
    </row>
    <row r="462" spans="4:13" ht="15" customHeight="1">
      <c r="D462" s="30" t="s">
        <v>278</v>
      </c>
      <c r="E462" s="30" t="s">
        <v>118</v>
      </c>
      <c r="G462" s="35" t="s">
        <v>129</v>
      </c>
      <c r="H462" s="35" t="s">
        <v>264</v>
      </c>
      <c r="I462" s="30" t="s">
        <v>121</v>
      </c>
      <c r="J462" s="30">
        <v>2</v>
      </c>
      <c r="K462" s="30" t="s">
        <v>35</v>
      </c>
      <c r="L462" s="30" t="s">
        <v>891</v>
      </c>
      <c r="M462" s="30" t="s">
        <v>108</v>
      </c>
    </row>
    <row r="463" spans="4:13" ht="15" customHeight="1">
      <c r="D463" s="30" t="s">
        <v>278</v>
      </c>
      <c r="E463" s="30" t="s">
        <v>122</v>
      </c>
      <c r="F463" s="35" t="s">
        <v>280</v>
      </c>
      <c r="I463" s="30" t="s">
        <v>124</v>
      </c>
      <c r="J463" s="30">
        <v>5</v>
      </c>
      <c r="K463" s="30" t="s">
        <v>35</v>
      </c>
      <c r="L463" s="30" t="s">
        <v>107</v>
      </c>
      <c r="M463" s="30" t="s">
        <v>108</v>
      </c>
    </row>
    <row r="464" spans="4:13" ht="15" customHeight="1">
      <c r="D464" s="30" t="s">
        <v>278</v>
      </c>
      <c r="E464" s="30" t="s">
        <v>104</v>
      </c>
      <c r="F464" s="35" t="s">
        <v>279</v>
      </c>
      <c r="I464" s="30" t="s">
        <v>106</v>
      </c>
      <c r="J464" s="30" t="s">
        <v>107</v>
      </c>
      <c r="K464" s="30" t="s">
        <v>35</v>
      </c>
      <c r="L464" s="30" t="s">
        <v>107</v>
      </c>
      <c r="M464" s="30" t="s">
        <v>108</v>
      </c>
    </row>
    <row r="465" spans="4:13" ht="15" customHeight="1">
      <c r="D465" s="30" t="s">
        <v>281</v>
      </c>
      <c r="E465" s="30" t="s">
        <v>109</v>
      </c>
      <c r="F465" s="35" t="s">
        <v>110</v>
      </c>
      <c r="I465" s="30" t="s">
        <v>111</v>
      </c>
      <c r="J465" s="30">
        <v>2</v>
      </c>
      <c r="K465" s="30" t="s">
        <v>35</v>
      </c>
      <c r="L465" s="30" t="s">
        <v>107</v>
      </c>
      <c r="M465" s="30" t="s">
        <v>108</v>
      </c>
    </row>
    <row r="466" spans="4:13" ht="15" customHeight="1">
      <c r="D466" s="30" t="s">
        <v>281</v>
      </c>
      <c r="E466" s="30" t="s">
        <v>131</v>
      </c>
      <c r="G466" s="35" t="s">
        <v>187</v>
      </c>
      <c r="H466" s="35" t="s">
        <v>176</v>
      </c>
      <c r="I466" s="30" t="s">
        <v>134</v>
      </c>
      <c r="J466" s="30">
        <v>5</v>
      </c>
      <c r="K466" s="30" t="s">
        <v>35</v>
      </c>
      <c r="L466" s="30" t="s">
        <v>135</v>
      </c>
      <c r="M466" s="30" t="s">
        <v>108</v>
      </c>
    </row>
    <row r="467" spans="4:13" ht="15" customHeight="1">
      <c r="D467" s="30" t="s">
        <v>281</v>
      </c>
      <c r="E467" s="30" t="s">
        <v>118</v>
      </c>
      <c r="G467" s="35" t="s">
        <v>129</v>
      </c>
      <c r="H467" s="35" t="s">
        <v>130</v>
      </c>
      <c r="I467" s="30" t="s">
        <v>121</v>
      </c>
      <c r="J467" s="30">
        <v>2</v>
      </c>
      <c r="K467" s="30" t="s">
        <v>35</v>
      </c>
      <c r="L467" s="30" t="s">
        <v>891</v>
      </c>
      <c r="M467" s="30" t="s">
        <v>108</v>
      </c>
    </row>
    <row r="468" spans="4:13" ht="15" customHeight="1">
      <c r="D468" s="30" t="s">
        <v>281</v>
      </c>
      <c r="E468" s="30" t="s">
        <v>122</v>
      </c>
      <c r="F468" s="35" t="s">
        <v>283</v>
      </c>
      <c r="I468" s="30" t="s">
        <v>124</v>
      </c>
      <c r="J468" s="30">
        <v>5</v>
      </c>
      <c r="K468" s="30" t="s">
        <v>35</v>
      </c>
      <c r="L468" s="30" t="s">
        <v>107</v>
      </c>
      <c r="M468" s="30" t="s">
        <v>108</v>
      </c>
    </row>
    <row r="469" spans="4:13" ht="15" customHeight="1">
      <c r="D469" s="30" t="s">
        <v>281</v>
      </c>
      <c r="E469" s="30" t="s">
        <v>104</v>
      </c>
      <c r="F469" s="35" t="s">
        <v>282</v>
      </c>
      <c r="I469" s="30" t="s">
        <v>106</v>
      </c>
      <c r="J469" s="30" t="s">
        <v>107</v>
      </c>
      <c r="K469" s="30" t="s">
        <v>35</v>
      </c>
      <c r="L469" s="30" t="s">
        <v>107</v>
      </c>
      <c r="M469" s="30" t="s">
        <v>108</v>
      </c>
    </row>
    <row r="470" spans="4:13" ht="15" customHeight="1">
      <c r="D470" s="30" t="s">
        <v>284</v>
      </c>
      <c r="E470" s="30" t="s">
        <v>109</v>
      </c>
      <c r="F470" s="35" t="s">
        <v>110</v>
      </c>
      <c r="I470" s="30" t="s">
        <v>111</v>
      </c>
      <c r="J470" s="30">
        <v>2</v>
      </c>
      <c r="K470" s="30" t="s">
        <v>35</v>
      </c>
      <c r="L470" s="30" t="s">
        <v>107</v>
      </c>
      <c r="M470" s="30" t="s">
        <v>108</v>
      </c>
    </row>
    <row r="471" spans="4:13" ht="15" customHeight="1">
      <c r="D471" s="30" t="s">
        <v>284</v>
      </c>
      <c r="E471" s="30" t="s">
        <v>131</v>
      </c>
      <c r="G471" s="35" t="s">
        <v>187</v>
      </c>
      <c r="H471" s="35" t="s">
        <v>176</v>
      </c>
      <c r="I471" s="30" t="s">
        <v>134</v>
      </c>
      <c r="J471" s="30">
        <v>5</v>
      </c>
      <c r="K471" s="30" t="s">
        <v>35</v>
      </c>
      <c r="L471" s="30" t="s">
        <v>135</v>
      </c>
      <c r="M471" s="30" t="s">
        <v>108</v>
      </c>
    </row>
    <row r="472" spans="4:13" ht="15" customHeight="1">
      <c r="D472" s="30" t="s">
        <v>284</v>
      </c>
      <c r="E472" s="30" t="s">
        <v>118</v>
      </c>
      <c r="G472" s="35" t="s">
        <v>129</v>
      </c>
      <c r="H472" s="35" t="s">
        <v>130</v>
      </c>
      <c r="I472" s="30" t="s">
        <v>121</v>
      </c>
      <c r="J472" s="30">
        <v>2</v>
      </c>
      <c r="K472" s="30" t="s">
        <v>35</v>
      </c>
      <c r="L472" s="30" t="s">
        <v>891</v>
      </c>
      <c r="M472" s="30" t="s">
        <v>108</v>
      </c>
    </row>
    <row r="473" spans="4:13" ht="15" customHeight="1">
      <c r="D473" s="30" t="s">
        <v>284</v>
      </c>
      <c r="E473" s="30" t="s">
        <v>122</v>
      </c>
      <c r="F473" s="35" t="s">
        <v>286</v>
      </c>
      <c r="I473" s="30" t="s">
        <v>124</v>
      </c>
      <c r="J473" s="30">
        <v>5</v>
      </c>
      <c r="K473" s="30" t="s">
        <v>35</v>
      </c>
      <c r="L473" s="30" t="s">
        <v>107</v>
      </c>
      <c r="M473" s="30" t="s">
        <v>108</v>
      </c>
    </row>
    <row r="474" spans="4:13" ht="15" customHeight="1">
      <c r="D474" s="30" t="s">
        <v>284</v>
      </c>
      <c r="E474" s="30" t="s">
        <v>104</v>
      </c>
      <c r="F474" s="35" t="s">
        <v>285</v>
      </c>
      <c r="I474" s="30" t="s">
        <v>106</v>
      </c>
      <c r="J474" s="30" t="s">
        <v>107</v>
      </c>
      <c r="K474" s="30" t="s">
        <v>35</v>
      </c>
      <c r="L474" s="30" t="s">
        <v>107</v>
      </c>
      <c r="M474" s="30" t="s">
        <v>108</v>
      </c>
    </row>
    <row r="475" spans="4:13" ht="15" customHeight="1">
      <c r="D475" s="30" t="s">
        <v>287</v>
      </c>
      <c r="E475" s="30" t="s">
        <v>109</v>
      </c>
      <c r="F475" s="35" t="s">
        <v>110</v>
      </c>
      <c r="I475" s="30" t="s">
        <v>111</v>
      </c>
      <c r="J475" s="30">
        <v>2</v>
      </c>
      <c r="K475" s="30" t="s">
        <v>35</v>
      </c>
      <c r="L475" s="30" t="s">
        <v>107</v>
      </c>
      <c r="M475" s="30" t="s">
        <v>108</v>
      </c>
    </row>
    <row r="476" spans="4:13" ht="15" customHeight="1">
      <c r="D476" s="30" t="s">
        <v>287</v>
      </c>
      <c r="E476" s="30" t="s">
        <v>131</v>
      </c>
      <c r="G476" s="35" t="s">
        <v>187</v>
      </c>
      <c r="H476" s="35" t="s">
        <v>176</v>
      </c>
      <c r="I476" s="30" t="s">
        <v>134</v>
      </c>
      <c r="J476" s="30">
        <v>5</v>
      </c>
      <c r="K476" s="30" t="s">
        <v>35</v>
      </c>
      <c r="L476" s="30" t="s">
        <v>135</v>
      </c>
      <c r="M476" s="30" t="s">
        <v>108</v>
      </c>
    </row>
    <row r="477" spans="4:13" ht="15" customHeight="1">
      <c r="D477" s="30" t="s">
        <v>287</v>
      </c>
      <c r="E477" s="30" t="s">
        <v>118</v>
      </c>
      <c r="G477" s="35" t="s">
        <v>139</v>
      </c>
      <c r="H477" s="35" t="s">
        <v>289</v>
      </c>
      <c r="I477" s="30" t="s">
        <v>121</v>
      </c>
      <c r="J477" s="30">
        <v>2</v>
      </c>
      <c r="K477" s="30" t="s">
        <v>35</v>
      </c>
      <c r="L477" s="30" t="s">
        <v>891</v>
      </c>
      <c r="M477" s="30" t="s">
        <v>108</v>
      </c>
    </row>
    <row r="478" spans="4:13" ht="15" customHeight="1">
      <c r="D478" s="30" t="s">
        <v>287</v>
      </c>
      <c r="E478" s="30" t="s">
        <v>122</v>
      </c>
      <c r="F478" s="35" t="s">
        <v>283</v>
      </c>
      <c r="I478" s="30" t="s">
        <v>124</v>
      </c>
      <c r="J478" s="30">
        <v>5</v>
      </c>
      <c r="K478" s="30" t="s">
        <v>35</v>
      </c>
      <c r="L478" s="30" t="s">
        <v>107</v>
      </c>
      <c r="M478" s="30" t="s">
        <v>108</v>
      </c>
    </row>
    <row r="479" spans="4:13" ht="15" customHeight="1">
      <c r="D479" s="30" t="s">
        <v>287</v>
      </c>
      <c r="E479" s="30" t="s">
        <v>104</v>
      </c>
      <c r="F479" s="35" t="s">
        <v>288</v>
      </c>
      <c r="I479" s="30" t="s">
        <v>106</v>
      </c>
      <c r="J479" s="30" t="s">
        <v>107</v>
      </c>
      <c r="K479" s="30" t="s">
        <v>35</v>
      </c>
      <c r="L479" s="30" t="s">
        <v>107</v>
      </c>
      <c r="M479" s="30" t="s">
        <v>108</v>
      </c>
    </row>
    <row r="480" spans="4:13" ht="15" customHeight="1">
      <c r="D480" s="30" t="s">
        <v>290</v>
      </c>
      <c r="E480" s="30" t="s">
        <v>109</v>
      </c>
      <c r="F480" s="35" t="s">
        <v>110</v>
      </c>
      <c r="I480" s="30" t="s">
        <v>111</v>
      </c>
      <c r="J480" s="30">
        <v>2</v>
      </c>
      <c r="K480" s="30" t="s">
        <v>35</v>
      </c>
      <c r="L480" s="30" t="s">
        <v>107</v>
      </c>
      <c r="M480" s="30" t="s">
        <v>108</v>
      </c>
    </row>
    <row r="481" spans="4:13" ht="15" customHeight="1">
      <c r="D481" s="30" t="s">
        <v>290</v>
      </c>
      <c r="E481" s="30" t="s">
        <v>131</v>
      </c>
      <c r="G481" s="35" t="s">
        <v>187</v>
      </c>
      <c r="H481" s="35" t="s">
        <v>176</v>
      </c>
      <c r="I481" s="30" t="s">
        <v>134</v>
      </c>
      <c r="J481" s="30">
        <v>5</v>
      </c>
      <c r="K481" s="30" t="s">
        <v>35</v>
      </c>
      <c r="L481" s="30" t="s">
        <v>135</v>
      </c>
      <c r="M481" s="30" t="s">
        <v>108</v>
      </c>
    </row>
    <row r="482" spans="4:13" ht="15" customHeight="1">
      <c r="D482" s="30" t="s">
        <v>290</v>
      </c>
      <c r="E482" s="30" t="s">
        <v>118</v>
      </c>
      <c r="G482" s="35" t="s">
        <v>129</v>
      </c>
      <c r="H482" s="35" t="s">
        <v>130</v>
      </c>
      <c r="I482" s="30" t="s">
        <v>121</v>
      </c>
      <c r="J482" s="30">
        <v>2</v>
      </c>
      <c r="K482" s="30" t="s">
        <v>35</v>
      </c>
      <c r="L482" s="30" t="s">
        <v>891</v>
      </c>
      <c r="M482" s="30" t="s">
        <v>108</v>
      </c>
    </row>
    <row r="483" spans="4:13" ht="15" customHeight="1">
      <c r="D483" s="30" t="s">
        <v>290</v>
      </c>
      <c r="E483" s="30" t="s">
        <v>122</v>
      </c>
      <c r="F483" s="35" t="s">
        <v>292</v>
      </c>
      <c r="I483" s="30" t="s">
        <v>124</v>
      </c>
      <c r="J483" s="30">
        <v>5</v>
      </c>
      <c r="K483" s="30" t="s">
        <v>35</v>
      </c>
      <c r="L483" s="30" t="s">
        <v>107</v>
      </c>
      <c r="M483" s="30" t="s">
        <v>108</v>
      </c>
    </row>
    <row r="484" spans="4:13" ht="15" customHeight="1">
      <c r="D484" s="30" t="s">
        <v>290</v>
      </c>
      <c r="E484" s="30" t="s">
        <v>104</v>
      </c>
      <c r="F484" s="35" t="s">
        <v>291</v>
      </c>
      <c r="I484" s="30" t="s">
        <v>106</v>
      </c>
      <c r="J484" s="30" t="s">
        <v>107</v>
      </c>
      <c r="K484" s="30" t="s">
        <v>35</v>
      </c>
      <c r="L484" s="30" t="s">
        <v>107</v>
      </c>
      <c r="M484" s="30" t="s">
        <v>108</v>
      </c>
    </row>
    <row r="485" spans="4:13" ht="15" customHeight="1">
      <c r="D485" s="30" t="s">
        <v>591</v>
      </c>
      <c r="E485" s="30" t="s">
        <v>109</v>
      </c>
      <c r="F485" s="35" t="s">
        <v>110</v>
      </c>
      <c r="I485" s="30" t="s">
        <v>111</v>
      </c>
      <c r="J485" s="30">
        <v>2</v>
      </c>
      <c r="K485" s="30" t="s">
        <v>35</v>
      </c>
      <c r="L485" s="30" t="s">
        <v>107</v>
      </c>
      <c r="M485" s="30" t="s">
        <v>108</v>
      </c>
    </row>
    <row r="486" spans="4:13" ht="15" customHeight="1">
      <c r="D486" s="30" t="s">
        <v>591</v>
      </c>
      <c r="E486" s="30" t="s">
        <v>118</v>
      </c>
      <c r="G486" s="35" t="s">
        <v>130</v>
      </c>
      <c r="H486" s="35" t="s">
        <v>289</v>
      </c>
      <c r="I486" s="30" t="s">
        <v>121</v>
      </c>
      <c r="J486" s="30">
        <v>2</v>
      </c>
      <c r="K486" s="30" t="s">
        <v>35</v>
      </c>
      <c r="L486" s="30" t="s">
        <v>891</v>
      </c>
      <c r="M486" s="30" t="s">
        <v>108</v>
      </c>
    </row>
    <row r="487" spans="4:13" ht="15" customHeight="1">
      <c r="D487" s="30" t="s">
        <v>591</v>
      </c>
      <c r="E487" s="30" t="s">
        <v>122</v>
      </c>
      <c r="F487" s="35" t="s">
        <v>592</v>
      </c>
      <c r="I487" s="30" t="s">
        <v>124</v>
      </c>
      <c r="J487" s="30">
        <v>5</v>
      </c>
      <c r="K487" s="30" t="s">
        <v>35</v>
      </c>
      <c r="L487" s="30" t="s">
        <v>107</v>
      </c>
      <c r="M487" s="30" t="s">
        <v>108</v>
      </c>
    </row>
    <row r="488" spans="4:13" ht="15" customHeight="1">
      <c r="D488" s="30" t="s">
        <v>591</v>
      </c>
      <c r="E488" s="30" t="s">
        <v>104</v>
      </c>
      <c r="F488" s="30" t="s">
        <v>141</v>
      </c>
      <c r="I488" s="30" t="s">
        <v>106</v>
      </c>
      <c r="J488" s="30" t="s">
        <v>107</v>
      </c>
      <c r="K488" s="30" t="s">
        <v>35</v>
      </c>
      <c r="L488" s="30" t="s">
        <v>107</v>
      </c>
      <c r="M488" s="30" t="s">
        <v>108</v>
      </c>
    </row>
    <row r="489" spans="4:13" ht="15" customHeight="1">
      <c r="D489" s="30" t="s">
        <v>595</v>
      </c>
      <c r="E489" s="30" t="s">
        <v>109</v>
      </c>
      <c r="F489" s="35" t="s">
        <v>110</v>
      </c>
      <c r="I489" s="30" t="s">
        <v>111</v>
      </c>
      <c r="J489" s="30">
        <v>2</v>
      </c>
      <c r="K489" s="30" t="s">
        <v>35</v>
      </c>
      <c r="L489" s="30" t="s">
        <v>107</v>
      </c>
      <c r="M489" s="30" t="s">
        <v>108</v>
      </c>
    </row>
    <row r="490" spans="4:13" ht="15" customHeight="1">
      <c r="D490" s="30" t="s">
        <v>595</v>
      </c>
      <c r="E490" s="30" t="s">
        <v>118</v>
      </c>
      <c r="G490" s="35" t="s">
        <v>129</v>
      </c>
      <c r="H490" s="35" t="s">
        <v>130</v>
      </c>
      <c r="I490" s="30" t="s">
        <v>121</v>
      </c>
      <c r="J490" s="30">
        <v>2</v>
      </c>
      <c r="K490" s="30" t="s">
        <v>35</v>
      </c>
      <c r="L490" s="30" t="s">
        <v>891</v>
      </c>
      <c r="M490" s="30" t="s">
        <v>108</v>
      </c>
    </row>
    <row r="491" spans="4:13" ht="15" customHeight="1">
      <c r="D491" s="30" t="s">
        <v>595</v>
      </c>
      <c r="E491" s="30" t="s">
        <v>122</v>
      </c>
      <c r="F491" s="35" t="s">
        <v>596</v>
      </c>
      <c r="I491" s="30" t="s">
        <v>124</v>
      </c>
      <c r="J491" s="30">
        <v>5</v>
      </c>
      <c r="K491" s="30" t="s">
        <v>35</v>
      </c>
      <c r="L491" s="30" t="s">
        <v>107</v>
      </c>
      <c r="M491" s="30" t="s">
        <v>108</v>
      </c>
    </row>
    <row r="492" spans="4:13" ht="15" customHeight="1">
      <c r="D492" s="30" t="s">
        <v>595</v>
      </c>
      <c r="E492" s="30" t="s">
        <v>104</v>
      </c>
      <c r="F492" s="30" t="s">
        <v>141</v>
      </c>
      <c r="I492" s="30" t="s">
        <v>106</v>
      </c>
      <c r="J492" s="30" t="s">
        <v>107</v>
      </c>
      <c r="K492" s="30" t="s">
        <v>35</v>
      </c>
      <c r="L492" s="30" t="s">
        <v>107</v>
      </c>
      <c r="M492" s="30" t="s">
        <v>108</v>
      </c>
    </row>
    <row r="493" spans="4:13" ht="15" customHeight="1">
      <c r="D493" s="30" t="s">
        <v>688</v>
      </c>
      <c r="E493" s="30" t="s">
        <v>109</v>
      </c>
      <c r="F493" s="35" t="s">
        <v>110</v>
      </c>
      <c r="I493" s="30" t="s">
        <v>111</v>
      </c>
      <c r="J493" s="30">
        <v>2</v>
      </c>
      <c r="K493" s="30" t="s">
        <v>35</v>
      </c>
      <c r="L493" s="30" t="s">
        <v>107</v>
      </c>
      <c r="M493" s="30" t="s">
        <v>108</v>
      </c>
    </row>
    <row r="494" spans="4:13" ht="15" customHeight="1">
      <c r="D494" s="30" t="s">
        <v>688</v>
      </c>
      <c r="E494" s="30" t="s">
        <v>118</v>
      </c>
      <c r="G494" s="35" t="s">
        <v>129</v>
      </c>
      <c r="H494" s="35" t="s">
        <v>130</v>
      </c>
      <c r="I494" s="30" t="s">
        <v>121</v>
      </c>
      <c r="J494" s="30">
        <v>2</v>
      </c>
      <c r="K494" s="30" t="s">
        <v>35</v>
      </c>
      <c r="L494" s="30" t="s">
        <v>891</v>
      </c>
      <c r="M494" s="30" t="s">
        <v>108</v>
      </c>
    </row>
    <row r="495" spans="4:13" ht="15" customHeight="1">
      <c r="D495" s="30" t="s">
        <v>688</v>
      </c>
      <c r="E495" s="30" t="s">
        <v>122</v>
      </c>
      <c r="F495" s="35" t="s">
        <v>689</v>
      </c>
      <c r="I495" s="30" t="s">
        <v>124</v>
      </c>
      <c r="J495" s="30">
        <v>5</v>
      </c>
      <c r="K495" s="30" t="s">
        <v>35</v>
      </c>
      <c r="L495" s="30" t="s">
        <v>107</v>
      </c>
      <c r="M495" s="30" t="s">
        <v>108</v>
      </c>
    </row>
    <row r="496" spans="4:13" ht="15" customHeight="1">
      <c r="D496" s="30" t="s">
        <v>688</v>
      </c>
      <c r="E496" s="30" t="s">
        <v>104</v>
      </c>
      <c r="F496" s="30" t="s">
        <v>252</v>
      </c>
      <c r="I496" s="30" t="s">
        <v>106</v>
      </c>
      <c r="J496" s="30">
        <v>2</v>
      </c>
      <c r="K496" s="30" t="s">
        <v>35</v>
      </c>
      <c r="L496" s="30" t="s">
        <v>107</v>
      </c>
      <c r="M496" s="30" t="s">
        <v>108</v>
      </c>
    </row>
    <row r="497" spans="4:13" ht="15" customHeight="1">
      <c r="D497" s="30" t="s">
        <v>293</v>
      </c>
      <c r="E497" s="30" t="s">
        <v>109</v>
      </c>
      <c r="F497" s="35" t="s">
        <v>110</v>
      </c>
      <c r="I497" s="30" t="s">
        <v>111</v>
      </c>
      <c r="J497" s="30">
        <v>2</v>
      </c>
      <c r="K497" s="30" t="s">
        <v>35</v>
      </c>
      <c r="L497" s="30" t="s">
        <v>107</v>
      </c>
      <c r="M497" s="30" t="s">
        <v>108</v>
      </c>
    </row>
    <row r="498" spans="4:13" ht="15" customHeight="1">
      <c r="D498" s="30" t="s">
        <v>293</v>
      </c>
      <c r="E498" s="30" t="s">
        <v>118</v>
      </c>
      <c r="G498" s="35" t="s">
        <v>142</v>
      </c>
      <c r="H498" s="35" t="s">
        <v>129</v>
      </c>
      <c r="I498" s="30" t="s">
        <v>121</v>
      </c>
      <c r="J498" s="30">
        <v>2</v>
      </c>
      <c r="K498" s="30" t="s">
        <v>35</v>
      </c>
      <c r="L498" s="30" t="s">
        <v>891</v>
      </c>
      <c r="M498" s="30" t="s">
        <v>108</v>
      </c>
    </row>
    <row r="499" spans="4:13" ht="15" customHeight="1">
      <c r="D499" s="30" t="s">
        <v>293</v>
      </c>
      <c r="E499" s="30" t="s">
        <v>122</v>
      </c>
      <c r="F499" s="35" t="s">
        <v>294</v>
      </c>
      <c r="I499" s="30" t="s">
        <v>124</v>
      </c>
      <c r="J499" s="30">
        <v>5</v>
      </c>
      <c r="K499" s="30" t="s">
        <v>35</v>
      </c>
      <c r="L499" s="30" t="s">
        <v>107</v>
      </c>
      <c r="M499" s="30" t="s">
        <v>108</v>
      </c>
    </row>
    <row r="500" spans="4:13" ht="15" customHeight="1">
      <c r="D500" s="30" t="s">
        <v>293</v>
      </c>
      <c r="E500" s="30" t="s">
        <v>104</v>
      </c>
      <c r="F500" s="35" t="s">
        <v>144</v>
      </c>
      <c r="I500" s="30" t="s">
        <v>106</v>
      </c>
      <c r="J500" s="30" t="s">
        <v>107</v>
      </c>
      <c r="K500" s="30" t="s">
        <v>35</v>
      </c>
      <c r="L500" s="30" t="s">
        <v>107</v>
      </c>
      <c r="M500" s="30" t="s">
        <v>108</v>
      </c>
    </row>
    <row r="501" spans="4:13" ht="15" customHeight="1">
      <c r="D501" s="30" t="s">
        <v>555</v>
      </c>
      <c r="E501" s="30" t="s">
        <v>109</v>
      </c>
      <c r="F501" s="35" t="s">
        <v>110</v>
      </c>
      <c r="I501" s="30" t="s">
        <v>111</v>
      </c>
    </row>
    <row r="502" spans="4:13" ht="15" customHeight="1">
      <c r="D502" s="30" t="s">
        <v>555</v>
      </c>
      <c r="E502" s="30" t="s">
        <v>118</v>
      </c>
      <c r="G502" s="35" t="s">
        <v>129</v>
      </c>
      <c r="H502" s="35" t="s">
        <v>228</v>
      </c>
      <c r="I502" s="30" t="s">
        <v>121</v>
      </c>
    </row>
    <row r="503" spans="4:13" ht="15" customHeight="1">
      <c r="D503" s="30" t="s">
        <v>555</v>
      </c>
      <c r="E503" s="30" t="s">
        <v>122</v>
      </c>
      <c r="F503" s="35" t="s">
        <v>556</v>
      </c>
      <c r="I503" s="30" t="s">
        <v>124</v>
      </c>
      <c r="J503" s="30">
        <v>5</v>
      </c>
      <c r="K503" s="30" t="s">
        <v>35</v>
      </c>
      <c r="L503" s="30" t="s">
        <v>107</v>
      </c>
      <c r="M503" s="30" t="s">
        <v>108</v>
      </c>
    </row>
    <row r="504" spans="4:13" ht="15" customHeight="1">
      <c r="D504" s="30" t="s">
        <v>555</v>
      </c>
      <c r="E504" s="30" t="s">
        <v>104</v>
      </c>
      <c r="F504" s="35" t="s">
        <v>144</v>
      </c>
      <c r="I504" s="30" t="s">
        <v>106</v>
      </c>
      <c r="J504" s="30" t="s">
        <v>107</v>
      </c>
      <c r="K504" s="30" t="s">
        <v>35</v>
      </c>
      <c r="L504" s="30" t="s">
        <v>107</v>
      </c>
      <c r="M504" s="30" t="s">
        <v>108</v>
      </c>
    </row>
    <row r="505" spans="4:13" ht="15" customHeight="1">
      <c r="D505" s="30" t="s">
        <v>665</v>
      </c>
      <c r="E505" s="30" t="s">
        <v>109</v>
      </c>
      <c r="F505" s="35" t="s">
        <v>110</v>
      </c>
      <c r="I505" s="30" t="s">
        <v>111</v>
      </c>
      <c r="J505" s="30">
        <v>2</v>
      </c>
      <c r="K505" s="30" t="s">
        <v>35</v>
      </c>
      <c r="L505" s="30" t="s">
        <v>107</v>
      </c>
      <c r="M505" s="30" t="s">
        <v>108</v>
      </c>
    </row>
    <row r="506" spans="4:13" ht="15" customHeight="1">
      <c r="D506" s="30" t="s">
        <v>665</v>
      </c>
      <c r="E506" s="30" t="s">
        <v>131</v>
      </c>
      <c r="G506" s="35" t="s">
        <v>608</v>
      </c>
      <c r="H506" s="35" t="s">
        <v>185</v>
      </c>
      <c r="I506" s="30" t="s">
        <v>134</v>
      </c>
      <c r="J506" s="30">
        <v>5</v>
      </c>
      <c r="K506" s="30" t="s">
        <v>35</v>
      </c>
      <c r="L506" s="30" t="s">
        <v>135</v>
      </c>
      <c r="M506" s="30" t="s">
        <v>108</v>
      </c>
    </row>
    <row r="507" spans="4:13" ht="15" customHeight="1">
      <c r="D507" s="30" t="s">
        <v>665</v>
      </c>
      <c r="E507" s="30" t="s">
        <v>118</v>
      </c>
      <c r="G507" s="35" t="s">
        <v>130</v>
      </c>
      <c r="I507" s="30" t="s">
        <v>121</v>
      </c>
      <c r="J507" s="30">
        <v>2</v>
      </c>
      <c r="K507" s="30" t="s">
        <v>35</v>
      </c>
      <c r="L507" s="30" t="s">
        <v>891</v>
      </c>
      <c r="M507" s="30" t="s">
        <v>108</v>
      </c>
    </row>
    <row r="508" spans="4:13" ht="15" customHeight="1">
      <c r="D508" s="30" t="s">
        <v>665</v>
      </c>
      <c r="E508" s="30" t="s">
        <v>122</v>
      </c>
      <c r="F508" s="35" t="s">
        <v>667</v>
      </c>
      <c r="I508" s="30" t="s">
        <v>124</v>
      </c>
      <c r="J508" s="30">
        <v>5</v>
      </c>
      <c r="K508" s="30" t="s">
        <v>35</v>
      </c>
      <c r="L508" s="30" t="s">
        <v>107</v>
      </c>
      <c r="M508" s="30" t="s">
        <v>108</v>
      </c>
    </row>
    <row r="509" spans="4:13" ht="15" customHeight="1">
      <c r="D509" s="30" t="s">
        <v>665</v>
      </c>
      <c r="E509" s="30" t="s">
        <v>104</v>
      </c>
      <c r="F509" s="30" t="s">
        <v>666</v>
      </c>
      <c r="I509" s="30" t="s">
        <v>106</v>
      </c>
      <c r="J509" s="30">
        <v>2</v>
      </c>
      <c r="K509" s="30" t="s">
        <v>35</v>
      </c>
      <c r="L509" s="30" t="s">
        <v>107</v>
      </c>
      <c r="M509" s="30" t="s">
        <v>108</v>
      </c>
    </row>
    <row r="510" spans="4:13" ht="15" customHeight="1">
      <c r="D510" s="133" t="s">
        <v>803</v>
      </c>
      <c r="E510" s="30" t="s">
        <v>109</v>
      </c>
      <c r="F510" s="35" t="s">
        <v>110</v>
      </c>
      <c r="I510" s="30" t="s">
        <v>111</v>
      </c>
      <c r="J510" s="30">
        <v>2</v>
      </c>
      <c r="K510" s="30" t="s">
        <v>35</v>
      </c>
      <c r="L510" s="30" t="s">
        <v>107</v>
      </c>
      <c r="M510" s="30" t="s">
        <v>108</v>
      </c>
    </row>
    <row r="511" spans="4:13" ht="15" customHeight="1">
      <c r="D511" s="133" t="s">
        <v>803</v>
      </c>
      <c r="E511" s="30" t="s">
        <v>118</v>
      </c>
      <c r="G511" s="35" t="s">
        <v>129</v>
      </c>
      <c r="H511" s="35" t="s">
        <v>130</v>
      </c>
      <c r="I511" s="30" t="s">
        <v>121</v>
      </c>
      <c r="J511" s="30">
        <v>2</v>
      </c>
      <c r="K511" s="30" t="s">
        <v>35</v>
      </c>
      <c r="L511" s="30" t="s">
        <v>891</v>
      </c>
      <c r="M511" s="30" t="s">
        <v>108</v>
      </c>
    </row>
    <row r="512" spans="4:13" ht="15" customHeight="1">
      <c r="D512" s="133" t="s">
        <v>803</v>
      </c>
      <c r="E512" s="30" t="s">
        <v>122</v>
      </c>
      <c r="F512" s="35" t="s">
        <v>126</v>
      </c>
      <c r="I512" s="30" t="s">
        <v>124</v>
      </c>
      <c r="J512" s="30">
        <v>5</v>
      </c>
      <c r="K512" s="30" t="s">
        <v>35</v>
      </c>
      <c r="L512" s="30" t="s">
        <v>107</v>
      </c>
      <c r="M512" s="30" t="s">
        <v>108</v>
      </c>
    </row>
    <row r="513" spans="4:13" ht="15" customHeight="1">
      <c r="D513" s="133" t="s">
        <v>803</v>
      </c>
      <c r="E513" s="30" t="s">
        <v>104</v>
      </c>
      <c r="F513" s="35" t="s">
        <v>277</v>
      </c>
      <c r="I513" s="30" t="s">
        <v>106</v>
      </c>
      <c r="J513" s="30" t="s">
        <v>107</v>
      </c>
      <c r="K513" s="30" t="s">
        <v>35</v>
      </c>
      <c r="L513" s="30" t="s">
        <v>107</v>
      </c>
      <c r="M513" s="30" t="s">
        <v>108</v>
      </c>
    </row>
    <row r="514" spans="4:13" ht="15" customHeight="1">
      <c r="D514" s="30" t="s">
        <v>295</v>
      </c>
      <c r="E514" s="30" t="s">
        <v>109</v>
      </c>
      <c r="F514" s="35" t="s">
        <v>110</v>
      </c>
      <c r="I514" s="30" t="s">
        <v>111</v>
      </c>
      <c r="J514" s="30">
        <v>2</v>
      </c>
      <c r="K514" s="30" t="s">
        <v>35</v>
      </c>
      <c r="L514" s="30" t="s">
        <v>107</v>
      </c>
      <c r="M514" s="30" t="s">
        <v>108</v>
      </c>
    </row>
    <row r="515" spans="4:13" ht="15" customHeight="1">
      <c r="D515" s="30" t="s">
        <v>295</v>
      </c>
      <c r="E515" s="30" t="s">
        <v>122</v>
      </c>
      <c r="F515" s="35" t="s">
        <v>204</v>
      </c>
      <c r="I515" s="30" t="s">
        <v>124</v>
      </c>
      <c r="J515" s="30">
        <v>5</v>
      </c>
      <c r="K515" s="30" t="s">
        <v>35</v>
      </c>
      <c r="L515" s="30" t="s">
        <v>107</v>
      </c>
      <c r="M515" s="30" t="s">
        <v>108</v>
      </c>
    </row>
    <row r="516" spans="4:13" ht="15" customHeight="1">
      <c r="D516" s="30" t="s">
        <v>295</v>
      </c>
      <c r="E516" s="30" t="s">
        <v>104</v>
      </c>
      <c r="F516" s="35" t="s">
        <v>296</v>
      </c>
      <c r="I516" s="30" t="s">
        <v>106</v>
      </c>
      <c r="J516" s="30" t="s">
        <v>107</v>
      </c>
      <c r="K516" s="30" t="s">
        <v>35</v>
      </c>
      <c r="L516" s="30" t="s">
        <v>107</v>
      </c>
      <c r="M516" s="30" t="s">
        <v>108</v>
      </c>
    </row>
    <row r="517" spans="4:13" ht="15" customHeight="1">
      <c r="D517" s="30" t="s">
        <v>297</v>
      </c>
      <c r="E517" s="30" t="s">
        <v>109</v>
      </c>
      <c r="F517" s="35" t="s">
        <v>110</v>
      </c>
      <c r="I517" s="30" t="s">
        <v>111</v>
      </c>
      <c r="J517" s="30">
        <v>2</v>
      </c>
      <c r="K517" s="30" t="s">
        <v>35</v>
      </c>
      <c r="L517" s="30" t="s">
        <v>107</v>
      </c>
      <c r="M517" s="30" t="s">
        <v>108</v>
      </c>
    </row>
    <row r="518" spans="4:13" ht="15" customHeight="1">
      <c r="D518" s="30" t="s">
        <v>297</v>
      </c>
      <c r="E518" s="30" t="s">
        <v>118</v>
      </c>
      <c r="G518" s="35" t="s">
        <v>129</v>
      </c>
      <c r="H518" s="35" t="s">
        <v>289</v>
      </c>
      <c r="I518" s="30" t="s">
        <v>121</v>
      </c>
      <c r="J518" s="30">
        <v>2</v>
      </c>
      <c r="K518" s="30" t="s">
        <v>35</v>
      </c>
      <c r="L518" s="30" t="s">
        <v>891</v>
      </c>
      <c r="M518" s="30" t="s">
        <v>108</v>
      </c>
    </row>
    <row r="519" spans="4:13" ht="15" customHeight="1">
      <c r="D519" s="30" t="s">
        <v>297</v>
      </c>
      <c r="E519" s="30" t="s">
        <v>122</v>
      </c>
      <c r="F519" s="35" t="s">
        <v>136</v>
      </c>
      <c r="I519" s="30" t="s">
        <v>124</v>
      </c>
      <c r="J519" s="30">
        <v>5</v>
      </c>
      <c r="K519" s="30" t="s">
        <v>35</v>
      </c>
      <c r="L519" s="30" t="s">
        <v>107</v>
      </c>
      <c r="M519" s="30" t="s">
        <v>108</v>
      </c>
    </row>
    <row r="520" spans="4:13" ht="15" customHeight="1">
      <c r="D520" s="30" t="s">
        <v>297</v>
      </c>
      <c r="E520" s="30" t="s">
        <v>104</v>
      </c>
      <c r="F520" s="35" t="s">
        <v>298</v>
      </c>
      <c r="I520" s="30" t="s">
        <v>106</v>
      </c>
      <c r="J520" s="30" t="s">
        <v>107</v>
      </c>
      <c r="K520" s="30" t="s">
        <v>35</v>
      </c>
      <c r="L520" s="30" t="s">
        <v>107</v>
      </c>
      <c r="M520" s="30" t="s">
        <v>108</v>
      </c>
    </row>
    <row r="521" spans="4:13" ht="15" customHeight="1">
      <c r="D521" s="30" t="s">
        <v>668</v>
      </c>
      <c r="E521" s="30" t="s">
        <v>109</v>
      </c>
      <c r="F521" s="35" t="s">
        <v>110</v>
      </c>
      <c r="I521" s="30" t="s">
        <v>111</v>
      </c>
      <c r="J521" s="30">
        <v>2</v>
      </c>
      <c r="K521" s="30" t="s">
        <v>35</v>
      </c>
      <c r="L521" s="30" t="s">
        <v>107</v>
      </c>
      <c r="M521" s="30" t="s">
        <v>108</v>
      </c>
    </row>
    <row r="522" spans="4:13" ht="15" customHeight="1">
      <c r="D522" s="30" t="s">
        <v>668</v>
      </c>
      <c r="E522" s="30" t="s">
        <v>131</v>
      </c>
      <c r="G522" s="35" t="s">
        <v>176</v>
      </c>
      <c r="H522" s="35" t="s">
        <v>266</v>
      </c>
      <c r="I522" s="30" t="s">
        <v>134</v>
      </c>
      <c r="J522" s="30">
        <v>5</v>
      </c>
      <c r="K522" s="30" t="s">
        <v>35</v>
      </c>
      <c r="L522" s="30" t="s">
        <v>135</v>
      </c>
      <c r="M522" s="30" t="s">
        <v>108</v>
      </c>
    </row>
    <row r="523" spans="4:13" ht="15" customHeight="1">
      <c r="D523" s="30" t="s">
        <v>668</v>
      </c>
      <c r="E523" s="30" t="s">
        <v>118</v>
      </c>
      <c r="G523" s="35" t="s">
        <v>129</v>
      </c>
      <c r="H523" s="35" t="s">
        <v>139</v>
      </c>
      <c r="I523" s="30" t="s">
        <v>121</v>
      </c>
      <c r="J523" s="30">
        <v>2</v>
      </c>
      <c r="K523" s="30" t="s">
        <v>35</v>
      </c>
      <c r="L523" s="30" t="s">
        <v>891</v>
      </c>
      <c r="M523" s="30" t="s">
        <v>108</v>
      </c>
    </row>
    <row r="524" spans="4:13" ht="15" customHeight="1">
      <c r="D524" s="30" t="s">
        <v>668</v>
      </c>
      <c r="E524" s="30" t="s">
        <v>122</v>
      </c>
      <c r="F524" s="35" t="s">
        <v>166</v>
      </c>
      <c r="I524" s="30" t="s">
        <v>124</v>
      </c>
      <c r="J524" s="30">
        <v>5</v>
      </c>
      <c r="K524" s="30" t="s">
        <v>35</v>
      </c>
      <c r="L524" s="30" t="s">
        <v>107</v>
      </c>
      <c r="M524" s="30" t="s">
        <v>108</v>
      </c>
    </row>
    <row r="525" spans="4:13" ht="15" customHeight="1">
      <c r="D525" s="30" t="s">
        <v>668</v>
      </c>
      <c r="E525" s="30" t="s">
        <v>104</v>
      </c>
      <c r="F525" s="30" t="s">
        <v>669</v>
      </c>
      <c r="I525" s="30" t="s">
        <v>106</v>
      </c>
      <c r="J525" s="30">
        <v>2</v>
      </c>
      <c r="K525" s="30" t="s">
        <v>35</v>
      </c>
      <c r="L525" s="30" t="s">
        <v>107</v>
      </c>
      <c r="M525" s="30" t="s">
        <v>108</v>
      </c>
    </row>
    <row r="526" spans="4:13" ht="15" customHeight="1">
      <c r="D526" s="30" t="s">
        <v>299</v>
      </c>
      <c r="E526" s="30" t="s">
        <v>109</v>
      </c>
      <c r="F526" s="35" t="s">
        <v>110</v>
      </c>
      <c r="I526" s="30" t="s">
        <v>111</v>
      </c>
      <c r="J526" s="30">
        <v>2</v>
      </c>
      <c r="K526" s="30" t="s">
        <v>35</v>
      </c>
      <c r="L526" s="30" t="s">
        <v>107</v>
      </c>
      <c r="M526" s="30" t="s">
        <v>108</v>
      </c>
    </row>
    <row r="527" spans="4:13" ht="15" customHeight="1">
      <c r="D527" s="30" t="s">
        <v>299</v>
      </c>
      <c r="E527" s="30" t="s">
        <v>131</v>
      </c>
      <c r="G527" s="35" t="s">
        <v>162</v>
      </c>
      <c r="H527" s="35" t="s">
        <v>163</v>
      </c>
      <c r="I527" s="30" t="s">
        <v>134</v>
      </c>
      <c r="J527" s="30">
        <v>5</v>
      </c>
      <c r="K527" s="30" t="s">
        <v>35</v>
      </c>
      <c r="L527" s="30" t="s">
        <v>135</v>
      </c>
      <c r="M527" s="30" t="s">
        <v>108</v>
      </c>
    </row>
    <row r="528" spans="4:13" ht="15" customHeight="1">
      <c r="D528" s="30" t="s">
        <v>299</v>
      </c>
      <c r="E528" s="30" t="s">
        <v>118</v>
      </c>
      <c r="G528" s="35" t="s">
        <v>129</v>
      </c>
      <c r="H528" s="35" t="s">
        <v>130</v>
      </c>
      <c r="I528" s="30" t="s">
        <v>121</v>
      </c>
      <c r="J528" s="30">
        <v>2</v>
      </c>
      <c r="K528" s="30" t="s">
        <v>35</v>
      </c>
      <c r="L528" s="30" t="s">
        <v>891</v>
      </c>
      <c r="M528" s="30" t="s">
        <v>108</v>
      </c>
    </row>
    <row r="529" spans="4:13" ht="15" customHeight="1">
      <c r="D529" s="30" t="s">
        <v>299</v>
      </c>
      <c r="E529" s="30" t="s">
        <v>122</v>
      </c>
      <c r="F529" s="35" t="s">
        <v>172</v>
      </c>
      <c r="I529" s="30" t="s">
        <v>124</v>
      </c>
      <c r="J529" s="30">
        <v>5</v>
      </c>
      <c r="K529" s="30" t="s">
        <v>35</v>
      </c>
      <c r="L529" s="30" t="s">
        <v>107</v>
      </c>
      <c r="M529" s="30" t="s">
        <v>108</v>
      </c>
    </row>
    <row r="530" spans="4:13" ht="15" customHeight="1">
      <c r="D530" s="30" t="s">
        <v>299</v>
      </c>
      <c r="E530" s="30" t="s">
        <v>104</v>
      </c>
      <c r="F530" s="35" t="s">
        <v>300</v>
      </c>
      <c r="I530" s="30" t="s">
        <v>106</v>
      </c>
      <c r="J530" s="30" t="s">
        <v>107</v>
      </c>
      <c r="K530" s="30" t="s">
        <v>35</v>
      </c>
      <c r="L530" s="30" t="s">
        <v>107</v>
      </c>
      <c r="M530" s="30" t="s">
        <v>108</v>
      </c>
    </row>
    <row r="531" spans="4:13" ht="15" customHeight="1">
      <c r="D531" s="30" t="s">
        <v>301</v>
      </c>
      <c r="E531" s="30" t="s">
        <v>109</v>
      </c>
      <c r="F531" s="35" t="s">
        <v>110</v>
      </c>
      <c r="I531" s="30" t="s">
        <v>111</v>
      </c>
      <c r="J531" s="30">
        <v>2</v>
      </c>
      <c r="K531" s="30" t="s">
        <v>35</v>
      </c>
      <c r="L531" s="30" t="s">
        <v>107</v>
      </c>
      <c r="M531" s="30" t="s">
        <v>108</v>
      </c>
    </row>
    <row r="532" spans="4:13" ht="15" customHeight="1">
      <c r="D532" s="30" t="s">
        <v>301</v>
      </c>
      <c r="E532" s="30" t="s">
        <v>131</v>
      </c>
      <c r="G532" s="35" t="s">
        <v>187</v>
      </c>
      <c r="H532" s="35" t="s">
        <v>163</v>
      </c>
      <c r="I532" s="30" t="s">
        <v>134</v>
      </c>
      <c r="J532" s="30">
        <v>5</v>
      </c>
      <c r="K532" s="30" t="s">
        <v>35</v>
      </c>
      <c r="L532" s="30" t="s">
        <v>135</v>
      </c>
      <c r="M532" s="30" t="s">
        <v>108</v>
      </c>
    </row>
    <row r="533" spans="4:13" ht="15" customHeight="1">
      <c r="D533" s="30" t="s">
        <v>301</v>
      </c>
      <c r="E533" s="30" t="s">
        <v>118</v>
      </c>
      <c r="G533" s="35" t="s">
        <v>145</v>
      </c>
      <c r="H533" s="35" t="s">
        <v>129</v>
      </c>
      <c r="I533" s="30" t="s">
        <v>121</v>
      </c>
      <c r="J533" s="30">
        <v>2</v>
      </c>
      <c r="K533" s="30" t="s">
        <v>35</v>
      </c>
      <c r="L533" s="30" t="s">
        <v>891</v>
      </c>
      <c r="M533" s="30" t="s">
        <v>108</v>
      </c>
    </row>
    <row r="534" spans="4:13" ht="15" customHeight="1">
      <c r="D534" s="30" t="s">
        <v>301</v>
      </c>
      <c r="E534" s="30" t="s">
        <v>122</v>
      </c>
      <c r="F534" s="35" t="s">
        <v>188</v>
      </c>
      <c r="I534" s="30" t="s">
        <v>124</v>
      </c>
      <c r="J534" s="30">
        <v>5</v>
      </c>
      <c r="K534" s="30" t="s">
        <v>35</v>
      </c>
      <c r="L534" s="30" t="s">
        <v>107</v>
      </c>
      <c r="M534" s="30" t="s">
        <v>108</v>
      </c>
    </row>
    <row r="535" spans="4:13" ht="15" customHeight="1">
      <c r="D535" s="30" t="s">
        <v>301</v>
      </c>
      <c r="E535" s="30" t="s">
        <v>104</v>
      </c>
      <c r="F535" s="35" t="s">
        <v>302</v>
      </c>
      <c r="I535" s="30" t="s">
        <v>106</v>
      </c>
      <c r="J535" s="30" t="s">
        <v>107</v>
      </c>
      <c r="K535" s="30" t="s">
        <v>35</v>
      </c>
      <c r="L535" s="30" t="s">
        <v>107</v>
      </c>
      <c r="M535" s="30" t="s">
        <v>108</v>
      </c>
    </row>
    <row r="536" spans="4:13" ht="15" customHeight="1">
      <c r="D536" s="30" t="s">
        <v>661</v>
      </c>
      <c r="E536" s="30" t="s">
        <v>109</v>
      </c>
      <c r="F536" s="35" t="s">
        <v>110</v>
      </c>
      <c r="I536" s="30" t="s">
        <v>111</v>
      </c>
      <c r="J536" s="30">
        <v>2</v>
      </c>
      <c r="K536" s="30" t="s">
        <v>35</v>
      </c>
      <c r="L536" s="30" t="s">
        <v>107</v>
      </c>
      <c r="M536" s="30" t="s">
        <v>108</v>
      </c>
    </row>
    <row r="537" spans="4:13" ht="15" customHeight="1">
      <c r="D537" s="30" t="s">
        <v>661</v>
      </c>
      <c r="E537" s="30" t="s">
        <v>131</v>
      </c>
      <c r="G537" s="35" t="s">
        <v>162</v>
      </c>
      <c r="H537" s="35" t="s">
        <v>163</v>
      </c>
      <c r="I537" s="30" t="s">
        <v>134</v>
      </c>
      <c r="J537" s="30">
        <v>5</v>
      </c>
      <c r="K537" s="30" t="s">
        <v>35</v>
      </c>
      <c r="L537" s="30" t="s">
        <v>135</v>
      </c>
      <c r="M537" s="30" t="s">
        <v>108</v>
      </c>
    </row>
    <row r="538" spans="4:13" ht="15" customHeight="1">
      <c r="D538" s="30" t="s">
        <v>661</v>
      </c>
      <c r="E538" s="30" t="s">
        <v>118</v>
      </c>
      <c r="G538" s="35" t="s">
        <v>160</v>
      </c>
      <c r="H538" s="35" t="s">
        <v>142</v>
      </c>
      <c r="I538" s="30" t="s">
        <v>121</v>
      </c>
      <c r="J538" s="30">
        <v>2</v>
      </c>
      <c r="K538" s="30" t="s">
        <v>35</v>
      </c>
      <c r="L538" s="30" t="s">
        <v>891</v>
      </c>
      <c r="M538" s="30" t="s">
        <v>108</v>
      </c>
    </row>
    <row r="539" spans="4:13" ht="15" customHeight="1">
      <c r="D539" s="30" t="s">
        <v>661</v>
      </c>
      <c r="E539" s="30" t="s">
        <v>104</v>
      </c>
      <c r="F539" s="30" t="s">
        <v>296</v>
      </c>
      <c r="I539" s="30" t="s">
        <v>106</v>
      </c>
      <c r="J539" s="30">
        <v>2</v>
      </c>
      <c r="K539" s="30" t="s">
        <v>35</v>
      </c>
      <c r="L539" s="30" t="s">
        <v>107</v>
      </c>
      <c r="M539" s="30" t="s">
        <v>108</v>
      </c>
    </row>
    <row r="540" spans="4:13" ht="15" customHeight="1">
      <c r="D540" s="30" t="s">
        <v>670</v>
      </c>
      <c r="E540" s="30" t="s">
        <v>109</v>
      </c>
      <c r="F540" s="35" t="s">
        <v>110</v>
      </c>
      <c r="I540" s="30" t="s">
        <v>111</v>
      </c>
      <c r="J540" s="30">
        <v>2</v>
      </c>
      <c r="K540" s="30" t="s">
        <v>35</v>
      </c>
      <c r="L540" s="30" t="s">
        <v>107</v>
      </c>
      <c r="M540" s="30" t="s">
        <v>108</v>
      </c>
    </row>
    <row r="541" spans="4:13" ht="15" customHeight="1">
      <c r="D541" s="30" t="s">
        <v>670</v>
      </c>
      <c r="E541" s="30" t="s">
        <v>118</v>
      </c>
      <c r="G541" s="35" t="s">
        <v>160</v>
      </c>
      <c r="H541" s="35" t="s">
        <v>142</v>
      </c>
      <c r="I541" s="30" t="s">
        <v>121</v>
      </c>
      <c r="J541" s="30">
        <v>2</v>
      </c>
      <c r="K541" s="30" t="s">
        <v>35</v>
      </c>
      <c r="L541" s="30" t="s">
        <v>891</v>
      </c>
      <c r="M541" s="30" t="s">
        <v>108</v>
      </c>
    </row>
    <row r="542" spans="4:13" ht="15" customHeight="1">
      <c r="D542" s="30" t="s">
        <v>670</v>
      </c>
      <c r="E542" s="30" t="s">
        <v>122</v>
      </c>
      <c r="F542" s="35" t="s">
        <v>123</v>
      </c>
      <c r="I542" s="30" t="s">
        <v>124</v>
      </c>
      <c r="J542" s="30">
        <v>5</v>
      </c>
      <c r="K542" s="30" t="s">
        <v>35</v>
      </c>
      <c r="L542" s="30" t="s">
        <v>107</v>
      </c>
      <c r="M542" s="30" t="s">
        <v>108</v>
      </c>
    </row>
    <row r="543" spans="4:13" ht="15" customHeight="1">
      <c r="D543" s="30" t="s">
        <v>670</v>
      </c>
      <c r="E543" s="30" t="s">
        <v>104</v>
      </c>
      <c r="F543" s="30" t="s">
        <v>671</v>
      </c>
      <c r="I543" s="30" t="s">
        <v>106</v>
      </c>
      <c r="J543" s="30">
        <v>2</v>
      </c>
      <c r="K543" s="30" t="s">
        <v>35</v>
      </c>
      <c r="L543" s="30" t="s">
        <v>107</v>
      </c>
      <c r="M543" s="30" t="s">
        <v>108</v>
      </c>
    </row>
    <row r="544" spans="4:13" ht="15" customHeight="1">
      <c r="D544" s="30" t="s">
        <v>697</v>
      </c>
      <c r="E544" s="30" t="s">
        <v>109</v>
      </c>
      <c r="F544" s="35" t="s">
        <v>110</v>
      </c>
      <c r="I544" s="30" t="s">
        <v>111</v>
      </c>
      <c r="J544" s="30">
        <v>2</v>
      </c>
      <c r="K544" s="30" t="s">
        <v>35</v>
      </c>
      <c r="L544" s="30" t="s">
        <v>107</v>
      </c>
      <c r="M544" s="30" t="s">
        <v>108</v>
      </c>
    </row>
    <row r="545" spans="4:13" ht="15" customHeight="1">
      <c r="D545" s="30" t="s">
        <v>697</v>
      </c>
      <c r="E545" s="30" t="s">
        <v>131</v>
      </c>
      <c r="G545" s="35" t="s">
        <v>175</v>
      </c>
      <c r="I545" s="30" t="s">
        <v>134</v>
      </c>
      <c r="J545" s="30">
        <v>5</v>
      </c>
      <c r="K545" s="30" t="s">
        <v>35</v>
      </c>
      <c r="L545" s="30" t="s">
        <v>135</v>
      </c>
      <c r="M545" s="30" t="s">
        <v>108</v>
      </c>
    </row>
    <row r="546" spans="4:13" ht="15" customHeight="1">
      <c r="D546" s="30" t="s">
        <v>697</v>
      </c>
      <c r="E546" s="30" t="s">
        <v>118</v>
      </c>
      <c r="G546" s="35" t="s">
        <v>161</v>
      </c>
      <c r="H546" s="35" t="s">
        <v>129</v>
      </c>
      <c r="I546" s="30" t="s">
        <v>121</v>
      </c>
      <c r="J546" s="30">
        <v>2</v>
      </c>
      <c r="K546" s="30" t="s">
        <v>35</v>
      </c>
      <c r="L546" s="30" t="s">
        <v>891</v>
      </c>
      <c r="M546" s="30" t="s">
        <v>108</v>
      </c>
    </row>
    <row r="547" spans="4:13" ht="15" customHeight="1">
      <c r="D547" s="30" t="s">
        <v>697</v>
      </c>
      <c r="E547" s="30" t="s">
        <v>122</v>
      </c>
      <c r="F547" s="35" t="s">
        <v>699</v>
      </c>
      <c r="I547" s="30" t="s">
        <v>124</v>
      </c>
      <c r="J547" s="30">
        <v>5</v>
      </c>
      <c r="K547" s="30" t="s">
        <v>35</v>
      </c>
      <c r="L547" s="30" t="s">
        <v>107</v>
      </c>
      <c r="M547" s="30" t="s">
        <v>108</v>
      </c>
    </row>
    <row r="548" spans="4:13" ht="15" customHeight="1">
      <c r="D548" s="30" t="s">
        <v>697</v>
      </c>
      <c r="E548" s="30" t="s">
        <v>104</v>
      </c>
      <c r="F548" s="30" t="s">
        <v>698</v>
      </c>
      <c r="I548" s="30" t="s">
        <v>106</v>
      </c>
      <c r="J548" s="30">
        <v>2</v>
      </c>
      <c r="K548" s="30" t="s">
        <v>35</v>
      </c>
      <c r="L548" s="30" t="s">
        <v>107</v>
      </c>
      <c r="M548" s="30" t="s">
        <v>108</v>
      </c>
    </row>
    <row r="549" spans="4:13" ht="15" customHeight="1">
      <c r="D549" s="30" t="s">
        <v>303</v>
      </c>
      <c r="E549" s="30" t="s">
        <v>109</v>
      </c>
      <c r="F549" s="35" t="s">
        <v>110</v>
      </c>
      <c r="I549" s="30" t="s">
        <v>111</v>
      </c>
      <c r="J549" s="30">
        <v>2</v>
      </c>
      <c r="K549" s="30" t="s">
        <v>35</v>
      </c>
      <c r="L549" s="30" t="s">
        <v>107</v>
      </c>
      <c r="M549" s="30" t="s">
        <v>108</v>
      </c>
    </row>
    <row r="550" spans="4:13" ht="15" customHeight="1">
      <c r="D550" s="30" t="s">
        <v>303</v>
      </c>
      <c r="E550" s="30" t="s">
        <v>118</v>
      </c>
      <c r="G550" s="35" t="s">
        <v>129</v>
      </c>
      <c r="H550" s="35" t="s">
        <v>130</v>
      </c>
      <c r="I550" s="30" t="s">
        <v>121</v>
      </c>
      <c r="J550" s="30">
        <v>2</v>
      </c>
      <c r="K550" s="30" t="s">
        <v>35</v>
      </c>
      <c r="L550" s="30" t="s">
        <v>891</v>
      </c>
      <c r="M550" s="30" t="s">
        <v>108</v>
      </c>
    </row>
    <row r="551" spans="4:13" ht="15" customHeight="1">
      <c r="D551" s="30" t="s">
        <v>303</v>
      </c>
      <c r="E551" s="30" t="s">
        <v>122</v>
      </c>
      <c r="F551" s="35" t="s">
        <v>304</v>
      </c>
      <c r="I551" s="30" t="s">
        <v>124</v>
      </c>
      <c r="J551" s="30">
        <v>5</v>
      </c>
      <c r="K551" s="30" t="s">
        <v>35</v>
      </c>
      <c r="L551" s="30" t="s">
        <v>107</v>
      </c>
      <c r="M551" s="30" t="s">
        <v>108</v>
      </c>
    </row>
    <row r="552" spans="4:13" ht="15" customHeight="1">
      <c r="D552" s="30" t="s">
        <v>303</v>
      </c>
      <c r="E552" s="30" t="s">
        <v>104</v>
      </c>
      <c r="F552" s="35" t="s">
        <v>246</v>
      </c>
      <c r="I552" s="30" t="s">
        <v>106</v>
      </c>
      <c r="J552" s="30" t="s">
        <v>107</v>
      </c>
      <c r="K552" s="30" t="s">
        <v>35</v>
      </c>
      <c r="L552" s="30" t="s">
        <v>107</v>
      </c>
      <c r="M552" s="30" t="s">
        <v>108</v>
      </c>
    </row>
    <row r="553" spans="4:13" ht="15" customHeight="1">
      <c r="D553" s="133" t="s">
        <v>800</v>
      </c>
      <c r="E553" s="30" t="s">
        <v>109</v>
      </c>
      <c r="F553" s="35" t="s">
        <v>110</v>
      </c>
      <c r="I553" s="30" t="s">
        <v>111</v>
      </c>
      <c r="J553" s="30">
        <v>2</v>
      </c>
      <c r="K553" s="30" t="s">
        <v>35</v>
      </c>
      <c r="L553" s="30" t="s">
        <v>107</v>
      </c>
      <c r="M553" s="30" t="s">
        <v>108</v>
      </c>
    </row>
    <row r="554" spans="4:13" ht="15" customHeight="1">
      <c r="D554" s="133" t="s">
        <v>800</v>
      </c>
      <c r="E554" s="30" t="s">
        <v>118</v>
      </c>
      <c r="G554" s="35" t="s">
        <v>129</v>
      </c>
      <c r="H554" s="35" t="s">
        <v>130</v>
      </c>
      <c r="I554" s="30" t="s">
        <v>121</v>
      </c>
      <c r="J554" s="30">
        <v>2</v>
      </c>
      <c r="K554" s="30" t="s">
        <v>35</v>
      </c>
      <c r="L554" s="30" t="s">
        <v>891</v>
      </c>
      <c r="M554" s="30" t="s">
        <v>108</v>
      </c>
    </row>
    <row r="555" spans="4:13" ht="15" customHeight="1">
      <c r="D555" s="133" t="s">
        <v>800</v>
      </c>
      <c r="E555" s="30" t="s">
        <v>122</v>
      </c>
      <c r="F555" s="35" t="s">
        <v>525</v>
      </c>
      <c r="I555" s="30" t="s">
        <v>124</v>
      </c>
      <c r="J555" s="30">
        <v>5</v>
      </c>
      <c r="K555" s="30" t="s">
        <v>35</v>
      </c>
      <c r="L555" s="30" t="s">
        <v>107</v>
      </c>
      <c r="M555" s="30" t="s">
        <v>108</v>
      </c>
    </row>
    <row r="556" spans="4:13" ht="15" customHeight="1">
      <c r="D556" s="133" t="s">
        <v>800</v>
      </c>
      <c r="E556" s="30" t="s">
        <v>104</v>
      </c>
      <c r="F556" s="35" t="s">
        <v>144</v>
      </c>
      <c r="I556" s="30" t="s">
        <v>106</v>
      </c>
      <c r="J556" s="30" t="s">
        <v>107</v>
      </c>
      <c r="K556" s="30" t="s">
        <v>35</v>
      </c>
      <c r="L556" s="30" t="s">
        <v>107</v>
      </c>
      <c r="M556" s="30" t="s">
        <v>108</v>
      </c>
    </row>
    <row r="557" spans="4:13" ht="15" customHeight="1">
      <c r="D557" s="133" t="s">
        <v>801</v>
      </c>
      <c r="E557" s="30" t="s">
        <v>109</v>
      </c>
      <c r="F557" s="35" t="s">
        <v>110</v>
      </c>
      <c r="I557" s="30" t="s">
        <v>111</v>
      </c>
      <c r="J557" s="30">
        <v>2</v>
      </c>
      <c r="K557" s="30" t="s">
        <v>35</v>
      </c>
      <c r="L557" s="30" t="s">
        <v>107</v>
      </c>
      <c r="M557" s="30" t="s">
        <v>108</v>
      </c>
    </row>
    <row r="558" spans="4:13" ht="15" customHeight="1">
      <c r="D558" s="133" t="s">
        <v>801</v>
      </c>
      <c r="E558" s="30" t="s">
        <v>118</v>
      </c>
      <c r="G558" s="35" t="s">
        <v>142</v>
      </c>
      <c r="H558" s="35" t="s">
        <v>139</v>
      </c>
      <c r="I558" s="30" t="s">
        <v>121</v>
      </c>
      <c r="J558" s="30">
        <v>2</v>
      </c>
      <c r="K558" s="30" t="s">
        <v>35</v>
      </c>
      <c r="L558" s="30" t="s">
        <v>891</v>
      </c>
      <c r="M558" s="30" t="s">
        <v>108</v>
      </c>
    </row>
    <row r="559" spans="4:13" ht="15" customHeight="1">
      <c r="D559" s="133" t="s">
        <v>801</v>
      </c>
      <c r="E559" s="30" t="s">
        <v>122</v>
      </c>
      <c r="F559" s="35" t="s">
        <v>271</v>
      </c>
      <c r="I559" s="30" t="s">
        <v>124</v>
      </c>
      <c r="J559" s="30">
        <v>5</v>
      </c>
      <c r="K559" s="30" t="s">
        <v>35</v>
      </c>
      <c r="L559" s="30" t="s">
        <v>107</v>
      </c>
      <c r="M559" s="30" t="s">
        <v>108</v>
      </c>
    </row>
    <row r="560" spans="4:13" ht="15" customHeight="1">
      <c r="D560" s="133" t="s">
        <v>801</v>
      </c>
      <c r="E560" s="30" t="s">
        <v>104</v>
      </c>
      <c r="F560" s="30" t="s">
        <v>138</v>
      </c>
      <c r="I560" s="30" t="s">
        <v>106</v>
      </c>
      <c r="J560" s="30">
        <v>2</v>
      </c>
      <c r="K560" s="30" t="s">
        <v>35</v>
      </c>
      <c r="L560" s="30" t="s">
        <v>107</v>
      </c>
      <c r="M560" s="30" t="s">
        <v>108</v>
      </c>
    </row>
    <row r="561" spans="1:58" ht="15" customHeight="1">
      <c r="D561" s="133" t="s">
        <v>802</v>
      </c>
      <c r="E561" s="30" t="s">
        <v>109</v>
      </c>
      <c r="F561" s="35" t="s">
        <v>110</v>
      </c>
      <c r="I561" s="30" t="s">
        <v>111</v>
      </c>
      <c r="J561" s="30">
        <v>2</v>
      </c>
      <c r="K561" s="30" t="s">
        <v>35</v>
      </c>
      <c r="L561" s="30" t="s">
        <v>107</v>
      </c>
      <c r="M561" s="30" t="s">
        <v>108</v>
      </c>
    </row>
    <row r="562" spans="1:58" ht="15" customHeight="1">
      <c r="D562" s="133" t="s">
        <v>802</v>
      </c>
      <c r="E562" s="30" t="s">
        <v>118</v>
      </c>
      <c r="G562" s="35" t="s">
        <v>195</v>
      </c>
      <c r="H562" s="35" t="s">
        <v>119</v>
      </c>
      <c r="I562" s="30" t="s">
        <v>121</v>
      </c>
      <c r="J562" s="30">
        <v>2</v>
      </c>
      <c r="K562" s="30" t="s">
        <v>35</v>
      </c>
      <c r="L562" s="30" t="s">
        <v>891</v>
      </c>
      <c r="M562" s="30" t="s">
        <v>108</v>
      </c>
    </row>
    <row r="563" spans="1:58" ht="15" customHeight="1">
      <c r="D563" s="133" t="s">
        <v>802</v>
      </c>
      <c r="E563" s="30" t="s">
        <v>122</v>
      </c>
      <c r="F563" s="35" t="s">
        <v>123</v>
      </c>
      <c r="I563" s="30" t="s">
        <v>124</v>
      </c>
      <c r="J563" s="30">
        <v>5</v>
      </c>
      <c r="K563" s="30" t="s">
        <v>35</v>
      </c>
      <c r="L563" s="30" t="s">
        <v>107</v>
      </c>
      <c r="M563" s="30" t="s">
        <v>108</v>
      </c>
    </row>
    <row r="564" spans="1:58" ht="15" customHeight="1">
      <c r="D564" s="133" t="s">
        <v>802</v>
      </c>
      <c r="E564" s="30" t="s">
        <v>104</v>
      </c>
      <c r="F564" s="30" t="s">
        <v>643</v>
      </c>
      <c r="I564" s="30" t="s">
        <v>106</v>
      </c>
      <c r="J564" s="30">
        <v>2</v>
      </c>
      <c r="K564" s="30" t="s">
        <v>35</v>
      </c>
      <c r="L564" s="30" t="s">
        <v>107</v>
      </c>
      <c r="M564" s="30" t="s">
        <v>108</v>
      </c>
    </row>
    <row r="565" spans="1:58" ht="15" customHeight="1">
      <c r="D565" s="133" t="s">
        <v>799</v>
      </c>
      <c r="E565" s="30" t="s">
        <v>109</v>
      </c>
      <c r="F565" s="35" t="s">
        <v>110</v>
      </c>
      <c r="I565" s="30" t="s">
        <v>111</v>
      </c>
      <c r="J565" s="30">
        <v>2</v>
      </c>
      <c r="K565" s="30" t="s">
        <v>35</v>
      </c>
      <c r="L565" s="30" t="s">
        <v>107</v>
      </c>
      <c r="M565" s="30" t="s">
        <v>108</v>
      </c>
    </row>
    <row r="566" spans="1:58" ht="15" customHeight="1">
      <c r="D566" s="133" t="s">
        <v>799</v>
      </c>
      <c r="E566" s="30" t="s">
        <v>131</v>
      </c>
      <c r="G566" s="35" t="s">
        <v>162</v>
      </c>
      <c r="H566" s="35" t="s">
        <v>608</v>
      </c>
      <c r="I566" s="30" t="s">
        <v>134</v>
      </c>
      <c r="J566" s="30">
        <v>5</v>
      </c>
      <c r="K566" s="30" t="s">
        <v>35</v>
      </c>
      <c r="L566" s="30" t="s">
        <v>135</v>
      </c>
      <c r="M566" s="30" t="s">
        <v>108</v>
      </c>
    </row>
    <row r="567" spans="1:58" ht="15" customHeight="1">
      <c r="D567" s="133" t="s">
        <v>799</v>
      </c>
      <c r="E567" s="30" t="s">
        <v>118</v>
      </c>
      <c r="G567" s="35" t="s">
        <v>160</v>
      </c>
      <c r="H567" s="35" t="s">
        <v>161</v>
      </c>
      <c r="I567" s="30" t="s">
        <v>121</v>
      </c>
      <c r="J567" s="30">
        <v>2</v>
      </c>
      <c r="K567" s="30" t="s">
        <v>35</v>
      </c>
      <c r="L567" s="30" t="s">
        <v>891</v>
      </c>
      <c r="M567" s="30" t="s">
        <v>108</v>
      </c>
    </row>
    <row r="568" spans="1:58" s="96" customFormat="1" ht="15" customHeight="1">
      <c r="A568" s="132"/>
      <c r="B568" s="132"/>
      <c r="C568" s="132"/>
      <c r="D568" s="133" t="s">
        <v>799</v>
      </c>
      <c r="E568" s="30" t="s">
        <v>122</v>
      </c>
      <c r="F568" s="35" t="s">
        <v>271</v>
      </c>
      <c r="G568" s="35"/>
      <c r="H568" s="35"/>
      <c r="I568" s="30" t="s">
        <v>124</v>
      </c>
      <c r="J568" s="30">
        <v>5</v>
      </c>
      <c r="K568" s="30" t="s">
        <v>35</v>
      </c>
      <c r="L568" s="30" t="s">
        <v>107</v>
      </c>
      <c r="M568" s="30" t="s">
        <v>108</v>
      </c>
      <c r="N568" s="30"/>
      <c r="O568" s="132"/>
      <c r="P568" s="127"/>
      <c r="Q568" s="127"/>
      <c r="R568" s="127"/>
      <c r="S568" s="127"/>
      <c r="T568" s="67"/>
      <c r="U568" s="67"/>
      <c r="V568" s="67"/>
      <c r="W568" s="67"/>
      <c r="X568" s="67"/>
      <c r="Y568" s="67"/>
      <c r="Z568" s="67"/>
      <c r="AA568" s="67"/>
      <c r="AB568" s="67"/>
      <c r="AC568" s="67"/>
      <c r="AD568" s="114"/>
      <c r="AE568" s="67"/>
      <c r="AF568" s="67"/>
      <c r="AG568" s="67"/>
      <c r="AH568" s="67"/>
      <c r="AI568" s="67"/>
      <c r="AJ568" s="67"/>
      <c r="AK568" s="67"/>
      <c r="AL568" s="67"/>
      <c r="AM568" s="67"/>
      <c r="AN568" s="67"/>
      <c r="AO568" s="67"/>
      <c r="AP568" s="67"/>
      <c r="AQ568" s="67"/>
      <c r="AR568" s="67"/>
      <c r="AS568" s="67"/>
      <c r="AT568" s="67"/>
      <c r="AU568" s="67"/>
      <c r="AV568" s="67"/>
      <c r="AW568" s="67"/>
      <c r="AX568" s="67"/>
      <c r="AY568" s="67"/>
      <c r="AZ568" s="67"/>
      <c r="BA568" s="67"/>
      <c r="BB568" s="67"/>
      <c r="BC568" s="67"/>
      <c r="BD568" s="67"/>
      <c r="BE568" s="67"/>
      <c r="BF568" s="67"/>
    </row>
    <row r="569" spans="1:58" ht="15" customHeight="1">
      <c r="D569" s="133" t="s">
        <v>799</v>
      </c>
      <c r="E569" s="30" t="s">
        <v>104</v>
      </c>
      <c r="F569" s="30" t="s">
        <v>607</v>
      </c>
      <c r="I569" s="30" t="s">
        <v>106</v>
      </c>
      <c r="J569" s="30" t="s">
        <v>107</v>
      </c>
      <c r="K569" s="30" t="s">
        <v>35</v>
      </c>
      <c r="L569" s="30" t="s">
        <v>107</v>
      </c>
      <c r="M569" s="30" t="s">
        <v>108</v>
      </c>
    </row>
    <row r="570" spans="1:58" ht="15" customHeight="1">
      <c r="D570" s="101" t="s">
        <v>806</v>
      </c>
      <c r="E570" s="102" t="s">
        <v>104</v>
      </c>
      <c r="F570" s="103" t="s">
        <v>807</v>
      </c>
      <c r="G570" s="104"/>
      <c r="H570" s="104"/>
      <c r="I570" s="102" t="s">
        <v>106</v>
      </c>
      <c r="J570" s="102">
        <v>2</v>
      </c>
      <c r="K570" s="102" t="s">
        <v>35</v>
      </c>
      <c r="L570" s="102" t="s">
        <v>107</v>
      </c>
      <c r="M570" s="102" t="s">
        <v>108</v>
      </c>
    </row>
    <row r="571" spans="1:58" ht="15" customHeight="1">
      <c r="D571" s="99" t="s">
        <v>806</v>
      </c>
      <c r="E571" s="97" t="s">
        <v>118</v>
      </c>
      <c r="F571" s="98"/>
      <c r="G571" s="98" t="s">
        <v>129</v>
      </c>
      <c r="H571" s="98" t="s">
        <v>130</v>
      </c>
      <c r="I571" s="97" t="s">
        <v>121</v>
      </c>
      <c r="J571" s="97">
        <v>2</v>
      </c>
      <c r="K571" s="97" t="s">
        <v>35</v>
      </c>
      <c r="L571" s="97" t="s">
        <v>891</v>
      </c>
      <c r="M571" s="97" t="s">
        <v>108</v>
      </c>
    </row>
    <row r="572" spans="1:58" ht="15" customHeight="1">
      <c r="D572" s="99" t="s">
        <v>806</v>
      </c>
      <c r="E572" s="97" t="s">
        <v>109</v>
      </c>
      <c r="F572" s="98" t="s">
        <v>110</v>
      </c>
      <c r="G572" s="98"/>
      <c r="H572" s="98"/>
      <c r="I572" s="97" t="s">
        <v>111</v>
      </c>
      <c r="J572" s="97">
        <v>2</v>
      </c>
      <c r="K572" s="97" t="s">
        <v>35</v>
      </c>
      <c r="L572" s="97" t="s">
        <v>107</v>
      </c>
      <c r="M572" s="97" t="s">
        <v>108</v>
      </c>
      <c r="N572" s="96"/>
    </row>
    <row r="573" spans="1:58" s="96" customFormat="1" ht="15" customHeight="1">
      <c r="A573" s="132"/>
      <c r="B573" s="132"/>
      <c r="C573" s="132"/>
      <c r="D573" s="99" t="s">
        <v>806</v>
      </c>
      <c r="E573" s="97" t="s">
        <v>122</v>
      </c>
      <c r="F573" s="98" t="s">
        <v>172</v>
      </c>
      <c r="G573" s="98"/>
      <c r="H573" s="98"/>
      <c r="I573" s="97" t="s">
        <v>124</v>
      </c>
      <c r="J573" s="97">
        <v>5</v>
      </c>
      <c r="K573" s="97" t="s">
        <v>35</v>
      </c>
      <c r="L573" s="97" t="s">
        <v>107</v>
      </c>
      <c r="M573" s="97" t="s">
        <v>108</v>
      </c>
      <c r="N573" s="30"/>
      <c r="O573" s="132"/>
      <c r="P573" s="127"/>
      <c r="Q573" s="127"/>
      <c r="R573" s="127"/>
      <c r="S573" s="127"/>
      <c r="T573" s="67"/>
      <c r="U573" s="67"/>
      <c r="V573" s="67"/>
      <c r="W573" s="67"/>
      <c r="X573" s="67"/>
      <c r="Y573" s="67"/>
      <c r="Z573" s="67"/>
      <c r="AA573" s="67"/>
      <c r="AB573" s="67"/>
      <c r="AC573" s="67"/>
      <c r="AD573" s="114"/>
      <c r="AE573" s="67"/>
      <c r="AF573" s="67"/>
      <c r="AG573" s="67"/>
      <c r="AH573" s="67"/>
      <c r="AI573" s="67"/>
      <c r="AJ573" s="67"/>
      <c r="AK573" s="67"/>
      <c r="AL573" s="67"/>
      <c r="AM573" s="67"/>
      <c r="AN573" s="67"/>
      <c r="AO573" s="67"/>
      <c r="AP573" s="67"/>
      <c r="AQ573" s="67"/>
      <c r="AR573" s="67"/>
      <c r="AS573" s="67"/>
      <c r="AT573" s="67"/>
      <c r="AU573" s="67"/>
      <c r="AV573" s="67"/>
      <c r="AW573" s="67"/>
      <c r="AX573" s="67"/>
      <c r="AY573" s="67"/>
      <c r="AZ573" s="67"/>
      <c r="BA573" s="67"/>
      <c r="BB573" s="67"/>
      <c r="BC573" s="67"/>
      <c r="BD573" s="67"/>
      <c r="BE573" s="67"/>
      <c r="BF573" s="67"/>
    </row>
    <row r="574" spans="1:58" ht="15" customHeight="1">
      <c r="D574" s="99" t="s">
        <v>806</v>
      </c>
      <c r="E574" s="97" t="s">
        <v>131</v>
      </c>
      <c r="F574" s="98"/>
      <c r="G574" s="98" t="s">
        <v>187</v>
      </c>
      <c r="H574" s="98" t="s">
        <v>163</v>
      </c>
      <c r="I574" s="97" t="s">
        <v>134</v>
      </c>
      <c r="J574" s="97">
        <v>5</v>
      </c>
      <c r="K574" s="97" t="s">
        <v>35</v>
      </c>
      <c r="L574" s="97" t="s">
        <v>135</v>
      </c>
      <c r="M574" s="97" t="s">
        <v>108</v>
      </c>
    </row>
    <row r="575" spans="1:58" ht="15" customHeight="1">
      <c r="D575" s="101" t="s">
        <v>815</v>
      </c>
      <c r="E575" s="101" t="s">
        <v>104</v>
      </c>
      <c r="F575" s="101" t="s">
        <v>117</v>
      </c>
      <c r="G575" s="107"/>
      <c r="H575" s="107"/>
      <c r="I575" s="101" t="s">
        <v>106</v>
      </c>
      <c r="J575" s="101">
        <v>2</v>
      </c>
      <c r="K575" s="101" t="s">
        <v>35</v>
      </c>
      <c r="L575" s="101" t="s">
        <v>107</v>
      </c>
      <c r="M575" s="101" t="s">
        <v>108</v>
      </c>
    </row>
    <row r="576" spans="1:58" ht="15" customHeight="1">
      <c r="D576" s="99" t="s">
        <v>815</v>
      </c>
      <c r="E576" s="99" t="s">
        <v>118</v>
      </c>
      <c r="F576" s="100"/>
      <c r="G576" s="100" t="s">
        <v>142</v>
      </c>
      <c r="H576" s="100" t="s">
        <v>129</v>
      </c>
      <c r="I576" s="99" t="s">
        <v>121</v>
      </c>
      <c r="J576" s="99">
        <v>2</v>
      </c>
      <c r="K576" s="99" t="s">
        <v>35</v>
      </c>
      <c r="L576" s="99" t="s">
        <v>891</v>
      </c>
      <c r="M576" s="99" t="s">
        <v>108</v>
      </c>
    </row>
    <row r="577" spans="4:20" ht="15" customHeight="1">
      <c r="D577" s="99" t="s">
        <v>815</v>
      </c>
      <c r="E577" s="99" t="s">
        <v>109</v>
      </c>
      <c r="F577" s="100" t="s">
        <v>110</v>
      </c>
      <c r="G577" s="100"/>
      <c r="H577" s="100"/>
      <c r="I577" s="99" t="s">
        <v>111</v>
      </c>
      <c r="J577" s="99">
        <v>2</v>
      </c>
      <c r="K577" s="99" t="s">
        <v>35</v>
      </c>
      <c r="L577" s="99" t="s">
        <v>107</v>
      </c>
      <c r="M577" s="99" t="s">
        <v>108</v>
      </c>
    </row>
    <row r="578" spans="4:20" ht="15" customHeight="1">
      <c r="D578" s="99" t="s">
        <v>815</v>
      </c>
      <c r="E578" s="99" t="s">
        <v>122</v>
      </c>
      <c r="F578" s="100" t="s">
        <v>816</v>
      </c>
      <c r="G578" s="100"/>
      <c r="H578" s="100"/>
      <c r="I578" s="99" t="s">
        <v>124</v>
      </c>
      <c r="J578" s="99">
        <v>5</v>
      </c>
      <c r="K578" s="99" t="s">
        <v>35</v>
      </c>
      <c r="L578" s="99" t="s">
        <v>107</v>
      </c>
      <c r="M578" s="99" t="s">
        <v>108</v>
      </c>
    </row>
    <row r="579" spans="4:20" ht="15" customHeight="1">
      <c r="D579" s="99" t="s">
        <v>830</v>
      </c>
      <c r="E579" s="99" t="s">
        <v>104</v>
      </c>
      <c r="F579" s="99" t="s">
        <v>246</v>
      </c>
      <c r="G579" s="100"/>
      <c r="H579" s="100"/>
      <c r="I579" s="99" t="s">
        <v>106</v>
      </c>
      <c r="J579" s="99">
        <v>2</v>
      </c>
      <c r="K579" s="99" t="s">
        <v>35</v>
      </c>
      <c r="L579" s="99" t="s">
        <v>107</v>
      </c>
      <c r="M579" s="99" t="s">
        <v>108</v>
      </c>
    </row>
    <row r="580" spans="4:20" ht="15" customHeight="1">
      <c r="D580" s="99" t="s">
        <v>830</v>
      </c>
      <c r="E580" s="99" t="s">
        <v>118</v>
      </c>
      <c r="F580" s="100"/>
      <c r="G580" s="100" t="s">
        <v>142</v>
      </c>
      <c r="H580" s="100" t="s">
        <v>129</v>
      </c>
      <c r="I580" s="99" t="s">
        <v>121</v>
      </c>
      <c r="J580" s="99">
        <v>2</v>
      </c>
      <c r="K580" s="99" t="s">
        <v>35</v>
      </c>
      <c r="L580" s="99" t="s">
        <v>891</v>
      </c>
      <c r="M580" s="99" t="s">
        <v>108</v>
      </c>
    </row>
    <row r="581" spans="4:20" ht="15" customHeight="1">
      <c r="D581" s="99" t="s">
        <v>830</v>
      </c>
      <c r="E581" s="99" t="s">
        <v>109</v>
      </c>
      <c r="F581" s="100" t="s">
        <v>110</v>
      </c>
      <c r="G581" s="100"/>
      <c r="H581" s="100"/>
      <c r="I581" s="99" t="s">
        <v>111</v>
      </c>
      <c r="J581" s="99">
        <v>2</v>
      </c>
      <c r="K581" s="99" t="s">
        <v>35</v>
      </c>
      <c r="L581" s="99" t="s">
        <v>107</v>
      </c>
      <c r="M581" s="99" t="s">
        <v>108</v>
      </c>
    </row>
    <row r="582" spans="4:20" ht="15" customHeight="1">
      <c r="D582" s="99" t="s">
        <v>830</v>
      </c>
      <c r="E582" s="99" t="s">
        <v>122</v>
      </c>
      <c r="F582" s="100" t="s">
        <v>283</v>
      </c>
      <c r="G582" s="100"/>
      <c r="H582" s="100"/>
      <c r="I582" s="99" t="s">
        <v>124</v>
      </c>
      <c r="J582" s="99">
        <v>5</v>
      </c>
      <c r="K582" s="99" t="s">
        <v>35</v>
      </c>
      <c r="L582" s="99" t="s">
        <v>107</v>
      </c>
      <c r="M582" s="99" t="s">
        <v>108</v>
      </c>
    </row>
    <row r="583" spans="4:20" ht="15" customHeight="1">
      <c r="D583" s="99" t="s">
        <v>830</v>
      </c>
      <c r="E583" s="99" t="s">
        <v>131</v>
      </c>
      <c r="F583" s="100"/>
      <c r="G583" s="100" t="s">
        <v>150</v>
      </c>
      <c r="H583" s="100" t="s">
        <v>151</v>
      </c>
      <c r="I583" s="99" t="s">
        <v>134</v>
      </c>
      <c r="J583" s="99">
        <v>5</v>
      </c>
      <c r="K583" s="99" t="s">
        <v>35</v>
      </c>
      <c r="L583" s="99" t="s">
        <v>135</v>
      </c>
      <c r="M583" s="99" t="s">
        <v>108</v>
      </c>
      <c r="T583" s="67" t="s">
        <v>810</v>
      </c>
    </row>
    <row r="584" spans="4:20" ht="15" customHeight="1">
      <c r="D584" s="134" t="s">
        <v>866</v>
      </c>
      <c r="E584" s="30" t="s">
        <v>46</v>
      </c>
      <c r="F584" s="35" t="s">
        <v>335</v>
      </c>
      <c r="I584" s="30" t="s">
        <v>333</v>
      </c>
      <c r="J584" s="30">
        <v>1</v>
      </c>
      <c r="K584" s="30" t="s">
        <v>35</v>
      </c>
      <c r="L584" s="30" t="s">
        <v>336</v>
      </c>
      <c r="M584" s="30" t="s">
        <v>325</v>
      </c>
      <c r="T584" s="67" t="s">
        <v>340</v>
      </c>
    </row>
    <row r="585" spans="4:20" ht="15" customHeight="1">
      <c r="D585" s="134" t="s">
        <v>866</v>
      </c>
      <c r="E585" s="30" t="s">
        <v>337</v>
      </c>
      <c r="F585" s="35" t="s">
        <v>387</v>
      </c>
      <c r="I585" s="30" t="s">
        <v>333</v>
      </c>
      <c r="J585" s="30">
        <v>1</v>
      </c>
      <c r="K585" s="30" t="s">
        <v>35</v>
      </c>
      <c r="L585" s="30" t="s">
        <v>336</v>
      </c>
      <c r="M585" s="30" t="s">
        <v>325</v>
      </c>
      <c r="T585" s="67" t="s">
        <v>359</v>
      </c>
    </row>
    <row r="586" spans="4:20" ht="15" customHeight="1">
      <c r="D586" s="134" t="s">
        <v>866</v>
      </c>
      <c r="E586" s="30" t="s">
        <v>334</v>
      </c>
      <c r="H586" s="35" t="s">
        <v>386</v>
      </c>
      <c r="I586" s="30" t="s">
        <v>333</v>
      </c>
      <c r="J586" s="30">
        <v>1</v>
      </c>
      <c r="K586" s="30" t="s">
        <v>35</v>
      </c>
      <c r="L586" s="30" t="s">
        <v>336</v>
      </c>
      <c r="M586" s="30" t="s">
        <v>325</v>
      </c>
      <c r="T586" s="67" t="s">
        <v>861</v>
      </c>
    </row>
    <row r="587" spans="4:20" ht="15" customHeight="1">
      <c r="D587" s="134" t="s">
        <v>866</v>
      </c>
      <c r="E587" s="30" t="s">
        <v>338</v>
      </c>
      <c r="F587" s="35" t="s">
        <v>339</v>
      </c>
      <c r="I587" s="30" t="s">
        <v>333</v>
      </c>
      <c r="J587" s="30">
        <v>1</v>
      </c>
      <c r="K587" s="30" t="s">
        <v>35</v>
      </c>
      <c r="L587" s="30" t="s">
        <v>107</v>
      </c>
      <c r="M587" s="30" t="s">
        <v>325</v>
      </c>
      <c r="T587" s="67" t="s">
        <v>361</v>
      </c>
    </row>
    <row r="588" spans="4:20" ht="15" customHeight="1">
      <c r="D588" s="134" t="s">
        <v>866</v>
      </c>
      <c r="E588" s="30" t="s">
        <v>322</v>
      </c>
      <c r="G588" s="35" t="s">
        <v>501</v>
      </c>
      <c r="H588" s="35" t="s">
        <v>363</v>
      </c>
      <c r="I588" s="30" t="s">
        <v>48</v>
      </c>
      <c r="J588" s="30">
        <v>2</v>
      </c>
      <c r="K588" s="30" t="s">
        <v>35</v>
      </c>
      <c r="L588" s="30" t="s">
        <v>324</v>
      </c>
      <c r="M588" s="30" t="s">
        <v>325</v>
      </c>
      <c r="T588" s="67" t="s">
        <v>370</v>
      </c>
    </row>
    <row r="589" spans="4:20" ht="15" customHeight="1">
      <c r="D589" s="134" t="s">
        <v>866</v>
      </c>
      <c r="E589" s="30" t="s">
        <v>45</v>
      </c>
      <c r="G589" s="35" t="s">
        <v>364</v>
      </c>
      <c r="H589" s="35" t="s">
        <v>378</v>
      </c>
      <c r="I589" s="30" t="s">
        <v>48</v>
      </c>
      <c r="J589" s="30">
        <v>2</v>
      </c>
      <c r="K589" s="30" t="s">
        <v>35</v>
      </c>
      <c r="L589" s="30" t="s">
        <v>358</v>
      </c>
      <c r="M589" s="30" t="s">
        <v>325</v>
      </c>
      <c r="T589" s="67" t="s">
        <v>376</v>
      </c>
    </row>
    <row r="590" spans="4:20" ht="15" customHeight="1">
      <c r="D590" s="134" t="s">
        <v>866</v>
      </c>
      <c r="E590" s="30" t="s">
        <v>331</v>
      </c>
      <c r="F590" s="35" t="s">
        <v>345</v>
      </c>
      <c r="I590" s="30" t="s">
        <v>333</v>
      </c>
      <c r="J590" s="30">
        <v>1</v>
      </c>
      <c r="K590" s="30" t="s">
        <v>35</v>
      </c>
      <c r="L590" s="30" t="s">
        <v>107</v>
      </c>
      <c r="M590" s="30" t="s">
        <v>325</v>
      </c>
      <c r="T590" s="67" t="s">
        <v>615</v>
      </c>
    </row>
    <row r="591" spans="4:20" ht="15" customHeight="1">
      <c r="D591" s="134" t="s">
        <v>866</v>
      </c>
      <c r="E591" s="30" t="s">
        <v>353</v>
      </c>
      <c r="F591" s="35" t="s">
        <v>354</v>
      </c>
      <c r="I591" s="30" t="s">
        <v>355</v>
      </c>
      <c r="J591" s="30" t="s">
        <v>352</v>
      </c>
      <c r="K591" s="30" t="s">
        <v>35</v>
      </c>
      <c r="L591" s="30" t="s">
        <v>107</v>
      </c>
      <c r="M591" s="30" t="s">
        <v>325</v>
      </c>
      <c r="T591" s="67" t="s">
        <v>862</v>
      </c>
    </row>
    <row r="592" spans="4:20" ht="15" customHeight="1">
      <c r="D592" s="134" t="s">
        <v>866</v>
      </c>
      <c r="E592" s="30" t="s">
        <v>326</v>
      </c>
      <c r="G592" s="35" t="s">
        <v>530</v>
      </c>
      <c r="H592" s="35" t="s">
        <v>624</v>
      </c>
      <c r="I592" s="30" t="s">
        <v>329</v>
      </c>
      <c r="J592" s="30">
        <v>2</v>
      </c>
      <c r="K592" s="30" t="s">
        <v>35</v>
      </c>
      <c r="L592" s="30" t="s">
        <v>330</v>
      </c>
      <c r="M592" s="30" t="s">
        <v>325</v>
      </c>
      <c r="T592" s="67" t="s">
        <v>863</v>
      </c>
    </row>
    <row r="593" spans="4:20" ht="15" customHeight="1">
      <c r="D593" s="134" t="s">
        <v>866</v>
      </c>
      <c r="E593" s="30" t="s">
        <v>349</v>
      </c>
      <c r="F593" s="35" t="s">
        <v>627</v>
      </c>
      <c r="I593" s="30" t="s">
        <v>351</v>
      </c>
      <c r="J593" s="30" t="s">
        <v>352</v>
      </c>
      <c r="K593" s="30" t="s">
        <v>35</v>
      </c>
      <c r="L593" s="30" t="s">
        <v>324</v>
      </c>
      <c r="M593" s="30" t="s">
        <v>325</v>
      </c>
      <c r="T593" s="67" t="s">
        <v>584</v>
      </c>
    </row>
    <row r="594" spans="4:20" ht="15" customHeight="1">
      <c r="D594" s="30" t="s">
        <v>860</v>
      </c>
      <c r="E594" s="30" t="s">
        <v>46</v>
      </c>
      <c r="F594" s="35" t="s">
        <v>335</v>
      </c>
      <c r="I594" s="30" t="s">
        <v>333</v>
      </c>
      <c r="J594" s="30">
        <v>1</v>
      </c>
      <c r="K594" s="30" t="s">
        <v>35</v>
      </c>
      <c r="L594" s="30" t="s">
        <v>336</v>
      </c>
      <c r="M594" s="30" t="s">
        <v>325</v>
      </c>
      <c r="T594" s="67" t="s">
        <v>695</v>
      </c>
    </row>
    <row r="595" spans="4:20" ht="15" customHeight="1">
      <c r="D595" s="30" t="s">
        <v>860</v>
      </c>
      <c r="E595" s="30" t="s">
        <v>337</v>
      </c>
      <c r="F595" s="35" t="s">
        <v>335</v>
      </c>
      <c r="I595" s="30" t="s">
        <v>333</v>
      </c>
      <c r="J595" s="30">
        <v>1</v>
      </c>
      <c r="K595" s="30" t="s">
        <v>35</v>
      </c>
      <c r="L595" s="30" t="s">
        <v>336</v>
      </c>
      <c r="M595" s="30" t="s">
        <v>325</v>
      </c>
      <c r="T595" s="67" t="s">
        <v>628</v>
      </c>
    </row>
    <row r="596" spans="4:20" ht="15" customHeight="1">
      <c r="D596" s="30" t="s">
        <v>860</v>
      </c>
      <c r="E596" s="30" t="s">
        <v>334</v>
      </c>
      <c r="F596" s="35" t="s">
        <v>335</v>
      </c>
      <c r="I596" s="30" t="s">
        <v>333</v>
      </c>
      <c r="J596" s="30">
        <v>1</v>
      </c>
      <c r="K596" s="30" t="s">
        <v>35</v>
      </c>
      <c r="L596" s="30" t="s">
        <v>336</v>
      </c>
      <c r="M596" s="30" t="s">
        <v>325</v>
      </c>
      <c r="T596" s="67" t="s">
        <v>545</v>
      </c>
    </row>
    <row r="597" spans="4:20" ht="15" customHeight="1">
      <c r="D597" s="30" t="s">
        <v>860</v>
      </c>
      <c r="E597" s="30" t="s">
        <v>338</v>
      </c>
      <c r="F597" s="35" t="s">
        <v>339</v>
      </c>
      <c r="I597" s="30" t="s">
        <v>333</v>
      </c>
      <c r="J597" s="30">
        <v>1</v>
      </c>
      <c r="K597" s="30" t="s">
        <v>35</v>
      </c>
      <c r="L597" s="30" t="s">
        <v>107</v>
      </c>
      <c r="M597" s="30" t="s">
        <v>325</v>
      </c>
      <c r="T597" s="67" t="s">
        <v>383</v>
      </c>
    </row>
    <row r="598" spans="4:20" ht="15" customHeight="1">
      <c r="D598" s="30" t="s">
        <v>860</v>
      </c>
      <c r="E598" s="30" t="s">
        <v>322</v>
      </c>
      <c r="G598" s="35" t="s">
        <v>323</v>
      </c>
      <c r="H598" s="35" t="s">
        <v>289</v>
      </c>
      <c r="I598" s="30" t="s">
        <v>48</v>
      </c>
      <c r="J598" s="30">
        <v>2</v>
      </c>
      <c r="K598" s="30" t="s">
        <v>35</v>
      </c>
      <c r="L598" s="30" t="s">
        <v>324</v>
      </c>
      <c r="M598" s="30" t="s">
        <v>325</v>
      </c>
      <c r="T598" s="67" t="s">
        <v>518</v>
      </c>
    </row>
    <row r="599" spans="4:20" ht="15" customHeight="1">
      <c r="D599" s="30" t="s">
        <v>860</v>
      </c>
      <c r="E599" s="30" t="s">
        <v>331</v>
      </c>
      <c r="F599" s="35" t="s">
        <v>332</v>
      </c>
      <c r="I599" s="30" t="s">
        <v>333</v>
      </c>
      <c r="J599" s="30">
        <v>1</v>
      </c>
      <c r="K599" s="30" t="s">
        <v>35</v>
      </c>
      <c r="L599" s="30" t="s">
        <v>107</v>
      </c>
      <c r="M599" s="30" t="s">
        <v>325</v>
      </c>
      <c r="P599" s="129"/>
      <c r="Q599" s="129"/>
      <c r="R599" s="129"/>
      <c r="S599" s="129"/>
      <c r="T599" s="67" t="s">
        <v>559</v>
      </c>
    </row>
    <row r="600" spans="4:20" ht="15" customHeight="1">
      <c r="D600" s="30" t="s">
        <v>860</v>
      </c>
      <c r="E600" s="30" t="s">
        <v>326</v>
      </c>
      <c r="G600" s="35" t="s">
        <v>327</v>
      </c>
      <c r="H600" s="35" t="s">
        <v>328</v>
      </c>
      <c r="I600" s="30" t="s">
        <v>329</v>
      </c>
      <c r="J600" s="30">
        <v>2</v>
      </c>
      <c r="K600" s="30" t="s">
        <v>35</v>
      </c>
      <c r="L600" s="30" t="s">
        <v>330</v>
      </c>
      <c r="M600" s="30" t="s">
        <v>325</v>
      </c>
      <c r="P600" s="129"/>
      <c r="Q600" s="129"/>
      <c r="R600" s="129"/>
      <c r="S600" s="129"/>
      <c r="T600" s="67" t="s">
        <v>613</v>
      </c>
    </row>
    <row r="601" spans="4:20" ht="15" customHeight="1">
      <c r="D601" s="30" t="s">
        <v>861</v>
      </c>
      <c r="E601" s="30" t="s">
        <v>46</v>
      </c>
      <c r="F601" s="35" t="s">
        <v>335</v>
      </c>
      <c r="I601" s="30" t="s">
        <v>333</v>
      </c>
      <c r="J601" s="30">
        <v>1</v>
      </c>
      <c r="K601" s="30" t="s">
        <v>35</v>
      </c>
      <c r="L601" s="30" t="s">
        <v>336</v>
      </c>
      <c r="M601" s="30" t="s">
        <v>325</v>
      </c>
      <c r="P601" s="129"/>
      <c r="Q601" s="129"/>
      <c r="R601" s="129"/>
      <c r="S601" s="129"/>
      <c r="T601" s="67" t="s">
        <v>534</v>
      </c>
    </row>
    <row r="602" spans="4:20" ht="15" customHeight="1">
      <c r="D602" s="30" t="s">
        <v>861</v>
      </c>
      <c r="E602" s="30" t="s">
        <v>337</v>
      </c>
      <c r="F602" s="35" t="s">
        <v>387</v>
      </c>
      <c r="I602" s="30" t="s">
        <v>333</v>
      </c>
      <c r="J602" s="30">
        <v>1</v>
      </c>
      <c r="K602" s="30" t="s">
        <v>35</v>
      </c>
      <c r="L602" s="30" t="s">
        <v>336</v>
      </c>
      <c r="M602" s="30" t="s">
        <v>325</v>
      </c>
      <c r="P602" s="129"/>
      <c r="Q602" s="129"/>
      <c r="R602" s="129"/>
      <c r="S602" s="129"/>
      <c r="T602" s="67" t="s">
        <v>389</v>
      </c>
    </row>
    <row r="603" spans="4:20" ht="15" customHeight="1">
      <c r="D603" s="30" t="s">
        <v>861</v>
      </c>
      <c r="E603" s="30" t="s">
        <v>334</v>
      </c>
      <c r="H603" s="35" t="s">
        <v>386</v>
      </c>
      <c r="I603" s="30" t="s">
        <v>333</v>
      </c>
      <c r="J603" s="30">
        <v>1</v>
      </c>
      <c r="K603" s="30" t="s">
        <v>35</v>
      </c>
      <c r="L603" s="30" t="s">
        <v>336</v>
      </c>
      <c r="M603" s="30" t="s">
        <v>325</v>
      </c>
      <c r="P603" s="129"/>
      <c r="Q603" s="129"/>
      <c r="R603" s="129"/>
      <c r="S603" s="129"/>
      <c r="T603" s="67" t="s">
        <v>393</v>
      </c>
    </row>
    <row r="604" spans="4:20">
      <c r="D604" s="30" t="s">
        <v>861</v>
      </c>
      <c r="E604" s="30" t="s">
        <v>338</v>
      </c>
      <c r="F604" s="35" t="s">
        <v>339</v>
      </c>
      <c r="I604" s="30" t="s">
        <v>333</v>
      </c>
      <c r="J604" s="30">
        <v>1</v>
      </c>
      <c r="K604" s="30" t="s">
        <v>35</v>
      </c>
      <c r="L604" s="30" t="s">
        <v>107</v>
      </c>
      <c r="M604" s="30" t="s">
        <v>325</v>
      </c>
      <c r="P604" s="129"/>
      <c r="Q604" s="129"/>
      <c r="R604" s="129"/>
      <c r="S604" s="129"/>
      <c r="T604" s="67" t="s">
        <v>864</v>
      </c>
    </row>
    <row r="605" spans="4:20" ht="15" customHeight="1">
      <c r="D605" s="30" t="s">
        <v>861</v>
      </c>
      <c r="E605" s="30" t="s">
        <v>322</v>
      </c>
      <c r="G605" s="35" t="s">
        <v>363</v>
      </c>
      <c r="H605" s="35" t="s">
        <v>519</v>
      </c>
      <c r="I605" s="30" t="s">
        <v>48</v>
      </c>
      <c r="J605" s="30">
        <v>2</v>
      </c>
      <c r="K605" s="30" t="s">
        <v>35</v>
      </c>
      <c r="L605" s="30" t="s">
        <v>324</v>
      </c>
      <c r="M605" s="30" t="s">
        <v>325</v>
      </c>
      <c r="P605" s="129"/>
      <c r="Q605" s="129"/>
      <c r="R605" s="129"/>
      <c r="S605" s="129"/>
      <c r="T605" s="67" t="s">
        <v>634</v>
      </c>
    </row>
    <row r="606" spans="4:20" ht="15" customHeight="1">
      <c r="D606" s="30" t="s">
        <v>861</v>
      </c>
      <c r="E606" s="30" t="s">
        <v>45</v>
      </c>
      <c r="G606" s="35" t="s">
        <v>378</v>
      </c>
      <c r="H606" s="35" t="s">
        <v>403</v>
      </c>
      <c r="I606" s="30" t="s">
        <v>48</v>
      </c>
      <c r="J606" s="30">
        <v>2</v>
      </c>
      <c r="K606" s="30" t="s">
        <v>35</v>
      </c>
      <c r="L606" s="30" t="s">
        <v>358</v>
      </c>
      <c r="M606" s="30" t="s">
        <v>325</v>
      </c>
      <c r="P606" s="129"/>
      <c r="Q606" s="129"/>
      <c r="R606" s="129"/>
      <c r="S606" s="129"/>
      <c r="T606" s="67" t="s">
        <v>580</v>
      </c>
    </row>
    <row r="607" spans="4:20" ht="15" customHeight="1">
      <c r="D607" s="30" t="s">
        <v>861</v>
      </c>
      <c r="E607" s="30" t="s">
        <v>331</v>
      </c>
      <c r="F607" s="35" t="s">
        <v>345</v>
      </c>
      <c r="I607" s="30" t="s">
        <v>333</v>
      </c>
      <c r="J607" s="30">
        <v>1</v>
      </c>
      <c r="K607" s="30" t="s">
        <v>35</v>
      </c>
      <c r="L607" s="30" t="s">
        <v>107</v>
      </c>
      <c r="M607" s="30" t="s">
        <v>325</v>
      </c>
      <c r="P607" s="129"/>
      <c r="Q607" s="129"/>
      <c r="R607" s="129"/>
      <c r="S607" s="129"/>
      <c r="T607" s="67" t="s">
        <v>399</v>
      </c>
    </row>
    <row r="608" spans="4:20" ht="15" customHeight="1">
      <c r="D608" s="30" t="s">
        <v>861</v>
      </c>
      <c r="E608" s="30" t="s">
        <v>353</v>
      </c>
      <c r="F608" s="35" t="s">
        <v>354</v>
      </c>
      <c r="I608" s="30" t="s">
        <v>355</v>
      </c>
      <c r="J608" s="30" t="s">
        <v>352</v>
      </c>
      <c r="K608" s="30" t="s">
        <v>35</v>
      </c>
      <c r="L608" s="30" t="s">
        <v>107</v>
      </c>
      <c r="M608" s="30" t="s">
        <v>325</v>
      </c>
      <c r="P608" s="129"/>
      <c r="Q608" s="129"/>
      <c r="R608" s="129"/>
      <c r="S608" s="129"/>
      <c r="T608" s="67" t="s">
        <v>404</v>
      </c>
    </row>
    <row r="609" spans="4:20" ht="15" customHeight="1">
      <c r="D609" s="30" t="s">
        <v>861</v>
      </c>
      <c r="E609" s="30" t="s">
        <v>326</v>
      </c>
      <c r="G609" s="35" t="s">
        <v>428</v>
      </c>
      <c r="H609" s="35" t="s">
        <v>581</v>
      </c>
      <c r="I609" s="30" t="s">
        <v>329</v>
      </c>
      <c r="J609" s="30">
        <v>2</v>
      </c>
      <c r="K609" s="30" t="s">
        <v>35</v>
      </c>
      <c r="L609" s="30" t="s">
        <v>330</v>
      </c>
      <c r="M609" s="30" t="s">
        <v>325</v>
      </c>
      <c r="P609" s="129"/>
      <c r="Q609" s="129"/>
      <c r="R609" s="129"/>
      <c r="S609" s="129"/>
      <c r="T609" s="67" t="s">
        <v>521</v>
      </c>
    </row>
    <row r="610" spans="4:20" ht="15" customHeight="1">
      <c r="D610" s="30" t="s">
        <v>861</v>
      </c>
      <c r="E610" s="30" t="s">
        <v>349</v>
      </c>
      <c r="F610" s="35" t="s">
        <v>586</v>
      </c>
      <c r="I610" s="30" t="s">
        <v>351</v>
      </c>
      <c r="J610" s="30" t="s">
        <v>352</v>
      </c>
      <c r="K610" s="30" t="s">
        <v>35</v>
      </c>
      <c r="L610" s="30" t="s">
        <v>324</v>
      </c>
      <c r="M610" s="30" t="s">
        <v>325</v>
      </c>
      <c r="P610" s="129"/>
      <c r="Q610" s="129"/>
      <c r="R610" s="129"/>
      <c r="S610" s="129"/>
      <c r="T610" s="67" t="s">
        <v>407</v>
      </c>
    </row>
    <row r="611" spans="4:20" ht="15" customHeight="1">
      <c r="D611" s="30" t="s">
        <v>862</v>
      </c>
      <c r="E611" s="30" t="s">
        <v>46</v>
      </c>
      <c r="F611" s="35" t="s">
        <v>335</v>
      </c>
      <c r="I611" s="30" t="s">
        <v>333</v>
      </c>
      <c r="J611" s="30">
        <v>1</v>
      </c>
      <c r="K611" s="30" t="s">
        <v>35</v>
      </c>
      <c r="L611" s="30" t="s">
        <v>336</v>
      </c>
      <c r="M611" s="30" t="s">
        <v>325</v>
      </c>
      <c r="P611" s="129"/>
      <c r="Q611" s="129"/>
      <c r="R611" s="129"/>
      <c r="S611" s="129"/>
      <c r="T611" s="67" t="s">
        <v>409</v>
      </c>
    </row>
    <row r="612" spans="4:20" ht="15" customHeight="1">
      <c r="D612" s="30" t="s">
        <v>862</v>
      </c>
      <c r="E612" s="30" t="s">
        <v>337</v>
      </c>
      <c r="F612" s="35" t="s">
        <v>368</v>
      </c>
      <c r="I612" s="30" t="s">
        <v>333</v>
      </c>
      <c r="J612" s="30">
        <v>1</v>
      </c>
      <c r="K612" s="30" t="s">
        <v>35</v>
      </c>
      <c r="L612" s="30" t="s">
        <v>336</v>
      </c>
      <c r="M612" s="30" t="s">
        <v>325</v>
      </c>
      <c r="P612" s="129"/>
      <c r="Q612" s="129"/>
      <c r="R612" s="129"/>
      <c r="S612" s="129"/>
      <c r="T612" s="67" t="s">
        <v>411</v>
      </c>
    </row>
    <row r="613" spans="4:20" ht="15" customHeight="1">
      <c r="D613" s="30" t="s">
        <v>862</v>
      </c>
      <c r="E613" s="30" t="s">
        <v>334</v>
      </c>
      <c r="F613" s="35" t="s">
        <v>335</v>
      </c>
      <c r="I613" s="30" t="s">
        <v>333</v>
      </c>
      <c r="J613" s="30">
        <v>1</v>
      </c>
      <c r="K613" s="30" t="s">
        <v>35</v>
      </c>
      <c r="L613" s="30" t="s">
        <v>336</v>
      </c>
      <c r="M613" s="30" t="s">
        <v>325</v>
      </c>
      <c r="P613" s="129"/>
      <c r="Q613" s="129"/>
      <c r="R613" s="129"/>
      <c r="S613" s="129"/>
      <c r="T613" s="67" t="s">
        <v>417</v>
      </c>
    </row>
    <row r="614" spans="4:20" ht="15" customHeight="1">
      <c r="D614" s="30" t="s">
        <v>862</v>
      </c>
      <c r="E614" s="30" t="s">
        <v>338</v>
      </c>
      <c r="F614" s="35" t="s">
        <v>339</v>
      </c>
      <c r="I614" s="30" t="s">
        <v>333</v>
      </c>
      <c r="J614" s="30">
        <v>1</v>
      </c>
      <c r="K614" s="30" t="s">
        <v>35</v>
      </c>
      <c r="L614" s="30" t="s">
        <v>107</v>
      </c>
      <c r="M614" s="30" t="s">
        <v>325</v>
      </c>
      <c r="P614" s="129"/>
      <c r="Q614" s="129"/>
      <c r="R614" s="129"/>
      <c r="S614" s="129"/>
      <c r="T614" s="67" t="s">
        <v>865</v>
      </c>
    </row>
    <row r="615" spans="4:20" ht="15" customHeight="1">
      <c r="D615" s="30" t="s">
        <v>862</v>
      </c>
      <c r="E615" s="30" t="s">
        <v>322</v>
      </c>
      <c r="G615" s="35" t="s">
        <v>390</v>
      </c>
      <c r="H615" s="35" t="s">
        <v>479</v>
      </c>
      <c r="I615" s="30" t="s">
        <v>48</v>
      </c>
      <c r="J615" s="30">
        <v>2</v>
      </c>
      <c r="K615" s="30" t="s">
        <v>35</v>
      </c>
      <c r="L615" s="30" t="s">
        <v>324</v>
      </c>
      <c r="M615" s="30" t="s">
        <v>325</v>
      </c>
      <c r="P615" s="129"/>
      <c r="Q615" s="129"/>
      <c r="R615" s="129"/>
      <c r="S615" s="129"/>
      <c r="T615" s="67" t="s">
        <v>512</v>
      </c>
    </row>
    <row r="616" spans="4:20" ht="15" customHeight="1">
      <c r="D616" s="30" t="s">
        <v>862</v>
      </c>
      <c r="E616" s="30" t="s">
        <v>45</v>
      </c>
      <c r="G616" s="35" t="s">
        <v>378</v>
      </c>
      <c r="H616" s="35" t="s">
        <v>379</v>
      </c>
      <c r="I616" s="30" t="s">
        <v>48</v>
      </c>
      <c r="J616" s="30">
        <v>2</v>
      </c>
      <c r="K616" s="30" t="s">
        <v>35</v>
      </c>
      <c r="L616" s="30" t="s">
        <v>358</v>
      </c>
      <c r="M616" s="30" t="s">
        <v>325</v>
      </c>
      <c r="P616" s="129"/>
      <c r="Q616" s="129"/>
      <c r="R616" s="129"/>
      <c r="S616" s="129"/>
      <c r="T616" s="67" t="s">
        <v>636</v>
      </c>
    </row>
    <row r="617" spans="4:20" ht="15" customHeight="1">
      <c r="D617" s="30" t="s">
        <v>862</v>
      </c>
      <c r="E617" s="30" t="s">
        <v>331</v>
      </c>
      <c r="F617" s="35" t="s">
        <v>345</v>
      </c>
      <c r="I617" s="30" t="s">
        <v>333</v>
      </c>
      <c r="J617" s="30">
        <v>1</v>
      </c>
      <c r="K617" s="30" t="s">
        <v>35</v>
      </c>
      <c r="L617" s="30" t="s">
        <v>107</v>
      </c>
      <c r="M617" s="30" t="s">
        <v>325</v>
      </c>
      <c r="P617" s="129"/>
      <c r="Q617" s="129"/>
      <c r="R617" s="129"/>
      <c r="S617" s="129"/>
      <c r="T617" s="67" t="s">
        <v>566</v>
      </c>
    </row>
    <row r="618" spans="4:20" ht="15" customHeight="1">
      <c r="D618" s="30" t="s">
        <v>862</v>
      </c>
      <c r="E618" s="30" t="s">
        <v>353</v>
      </c>
      <c r="F618" s="35" t="s">
        <v>354</v>
      </c>
      <c r="I618" s="30" t="s">
        <v>355</v>
      </c>
      <c r="J618" s="30" t="s">
        <v>352</v>
      </c>
      <c r="K618" s="30" t="s">
        <v>35</v>
      </c>
      <c r="L618" s="30" t="s">
        <v>107</v>
      </c>
      <c r="M618" s="30" t="s">
        <v>325</v>
      </c>
      <c r="P618" s="129"/>
      <c r="Q618" s="129"/>
      <c r="R618" s="129"/>
      <c r="S618" s="129"/>
      <c r="T618" s="67" t="s">
        <v>692</v>
      </c>
    </row>
    <row r="619" spans="4:20" ht="15" customHeight="1">
      <c r="D619" s="30" t="s">
        <v>862</v>
      </c>
      <c r="E619" s="30" t="s">
        <v>326</v>
      </c>
      <c r="G619" s="35" t="s">
        <v>428</v>
      </c>
      <c r="H619" s="35" t="s">
        <v>581</v>
      </c>
      <c r="I619" s="30" t="s">
        <v>329</v>
      </c>
      <c r="J619" s="30">
        <v>2</v>
      </c>
      <c r="K619" s="30" t="s">
        <v>35</v>
      </c>
      <c r="L619" s="30" t="s">
        <v>330</v>
      </c>
      <c r="M619" s="30" t="s">
        <v>325</v>
      </c>
      <c r="P619" s="129"/>
      <c r="Q619" s="129"/>
      <c r="R619" s="129"/>
      <c r="S619" s="129"/>
      <c r="T619" s="67" t="s">
        <v>557</v>
      </c>
    </row>
    <row r="620" spans="4:20" ht="15" customHeight="1">
      <c r="D620" s="30" t="s">
        <v>862</v>
      </c>
      <c r="E620" s="30" t="s">
        <v>349</v>
      </c>
      <c r="F620" s="35" t="s">
        <v>626</v>
      </c>
      <c r="I620" s="30" t="s">
        <v>351</v>
      </c>
      <c r="J620" s="30" t="s">
        <v>352</v>
      </c>
      <c r="K620" s="30" t="s">
        <v>35</v>
      </c>
      <c r="L620" s="30" t="s">
        <v>324</v>
      </c>
      <c r="M620" s="30" t="s">
        <v>325</v>
      </c>
      <c r="P620" s="129"/>
      <c r="Q620" s="129"/>
      <c r="R620" s="129"/>
      <c r="S620" s="129"/>
      <c r="T620" s="67" t="s">
        <v>702</v>
      </c>
    </row>
    <row r="621" spans="4:20" ht="15" customHeight="1">
      <c r="D621" s="30" t="s">
        <v>863</v>
      </c>
      <c r="E621" s="30" t="s">
        <v>46</v>
      </c>
      <c r="F621" s="35" t="s">
        <v>335</v>
      </c>
      <c r="I621" s="30" t="s">
        <v>333</v>
      </c>
      <c r="J621" s="30">
        <v>1</v>
      </c>
      <c r="K621" s="30" t="s">
        <v>35</v>
      </c>
      <c r="L621" s="30" t="s">
        <v>336</v>
      </c>
      <c r="M621" s="30" t="s">
        <v>325</v>
      </c>
      <c r="T621" s="67" t="s">
        <v>424</v>
      </c>
    </row>
    <row r="622" spans="4:20" ht="15" customHeight="1">
      <c r="D622" s="30" t="s">
        <v>863</v>
      </c>
      <c r="E622" s="30" t="s">
        <v>337</v>
      </c>
      <c r="F622" s="35" t="s">
        <v>368</v>
      </c>
      <c r="I622" s="30" t="s">
        <v>333</v>
      </c>
      <c r="J622" s="30">
        <v>1</v>
      </c>
      <c r="K622" s="30" t="s">
        <v>35</v>
      </c>
      <c r="L622" s="30" t="s">
        <v>336</v>
      </c>
      <c r="M622" s="30" t="s">
        <v>325</v>
      </c>
      <c r="T622" s="67" t="s">
        <v>431</v>
      </c>
    </row>
    <row r="623" spans="4:20" ht="15" customHeight="1">
      <c r="D623" s="30" t="s">
        <v>863</v>
      </c>
      <c r="E623" s="30" t="s">
        <v>334</v>
      </c>
      <c r="F623" s="35" t="s">
        <v>335</v>
      </c>
      <c r="I623" s="30" t="s">
        <v>333</v>
      </c>
      <c r="J623" s="30">
        <v>1</v>
      </c>
      <c r="K623" s="30" t="s">
        <v>35</v>
      </c>
      <c r="L623" s="30" t="s">
        <v>336</v>
      </c>
      <c r="M623" s="30" t="s">
        <v>325</v>
      </c>
      <c r="T623" s="67" t="s">
        <v>433</v>
      </c>
    </row>
    <row r="624" spans="4:20" ht="15" customHeight="1">
      <c r="D624" s="30" t="s">
        <v>863</v>
      </c>
      <c r="E624" s="30" t="s">
        <v>338</v>
      </c>
      <c r="F624" s="35" t="s">
        <v>339</v>
      </c>
      <c r="I624" s="30" t="s">
        <v>333</v>
      </c>
      <c r="J624" s="30">
        <v>1</v>
      </c>
      <c r="K624" s="30" t="s">
        <v>35</v>
      </c>
      <c r="L624" s="30" t="s">
        <v>107</v>
      </c>
      <c r="M624" s="30" t="s">
        <v>325</v>
      </c>
      <c r="T624" s="67" t="s">
        <v>436</v>
      </c>
    </row>
    <row r="625" spans="4:20" ht="15" customHeight="1">
      <c r="D625" s="30" t="s">
        <v>863</v>
      </c>
      <c r="E625" s="30" t="s">
        <v>322</v>
      </c>
      <c r="G625" s="35" t="s">
        <v>341</v>
      </c>
      <c r="H625" s="35" t="s">
        <v>576</v>
      </c>
      <c r="I625" s="30" t="s">
        <v>48</v>
      </c>
      <c r="J625" s="30">
        <v>2</v>
      </c>
      <c r="K625" s="30" t="s">
        <v>35</v>
      </c>
      <c r="L625" s="30" t="s">
        <v>324</v>
      </c>
      <c r="M625" s="30" t="s">
        <v>325</v>
      </c>
      <c r="T625" s="67" t="s">
        <v>443</v>
      </c>
    </row>
    <row r="626" spans="4:20" ht="15" customHeight="1">
      <c r="D626" s="30" t="s">
        <v>863</v>
      </c>
      <c r="E626" s="30" t="s">
        <v>45</v>
      </c>
      <c r="G626" s="35" t="s">
        <v>403</v>
      </c>
      <c r="H626" s="35" t="s">
        <v>379</v>
      </c>
      <c r="I626" s="30" t="s">
        <v>48</v>
      </c>
      <c r="J626" s="30">
        <v>2</v>
      </c>
      <c r="K626" s="30" t="s">
        <v>35</v>
      </c>
      <c r="L626" s="30" t="s">
        <v>358</v>
      </c>
      <c r="M626" s="30" t="s">
        <v>325</v>
      </c>
      <c r="T626" s="67" t="s">
        <v>445</v>
      </c>
    </row>
    <row r="627" spans="4:20" ht="15" customHeight="1">
      <c r="D627" s="30" t="s">
        <v>863</v>
      </c>
      <c r="E627" s="30" t="s">
        <v>331</v>
      </c>
      <c r="F627" s="35" t="s">
        <v>345</v>
      </c>
      <c r="I627" s="30" t="s">
        <v>333</v>
      </c>
      <c r="J627" s="30">
        <v>1</v>
      </c>
      <c r="K627" s="30" t="s">
        <v>35</v>
      </c>
      <c r="L627" s="30" t="s">
        <v>107</v>
      </c>
      <c r="M627" s="30" t="s">
        <v>325</v>
      </c>
      <c r="T627" s="67" t="s">
        <v>540</v>
      </c>
    </row>
    <row r="628" spans="4:20" ht="15" customHeight="1">
      <c r="D628" s="30" t="s">
        <v>863</v>
      </c>
      <c r="E628" s="30" t="s">
        <v>353</v>
      </c>
      <c r="F628" s="35" t="s">
        <v>354</v>
      </c>
      <c r="I628" s="30" t="s">
        <v>355</v>
      </c>
      <c r="J628" s="30" t="s">
        <v>352</v>
      </c>
      <c r="K628" s="30" t="s">
        <v>35</v>
      </c>
      <c r="L628" s="30" t="s">
        <v>107</v>
      </c>
      <c r="M628" s="30" t="s">
        <v>325</v>
      </c>
      <c r="T628" s="67" t="s">
        <v>448</v>
      </c>
    </row>
    <row r="629" spans="4:20" ht="15" customHeight="1">
      <c r="D629" s="30" t="s">
        <v>863</v>
      </c>
      <c r="E629" s="30" t="s">
        <v>326</v>
      </c>
      <c r="G629" s="35" t="s">
        <v>343</v>
      </c>
      <c r="H629" s="35" t="s">
        <v>577</v>
      </c>
      <c r="I629" s="30" t="s">
        <v>329</v>
      </c>
      <c r="J629" s="30">
        <v>2</v>
      </c>
      <c r="K629" s="30" t="s">
        <v>35</v>
      </c>
      <c r="L629" s="30" t="s">
        <v>578</v>
      </c>
      <c r="M629" s="30" t="s">
        <v>325</v>
      </c>
      <c r="T629" s="67" t="s">
        <v>451</v>
      </c>
    </row>
    <row r="630" spans="4:20" ht="15" customHeight="1">
      <c r="D630" s="30" t="s">
        <v>863</v>
      </c>
      <c r="E630" s="30" t="s">
        <v>349</v>
      </c>
      <c r="F630" s="35" t="s">
        <v>579</v>
      </c>
      <c r="I630" s="30" t="s">
        <v>351</v>
      </c>
      <c r="J630" s="30" t="s">
        <v>352</v>
      </c>
      <c r="K630" s="30" t="s">
        <v>35</v>
      </c>
      <c r="L630" s="30" t="s">
        <v>324</v>
      </c>
      <c r="M630" s="30" t="s">
        <v>325</v>
      </c>
      <c r="T630" s="67" t="s">
        <v>650</v>
      </c>
    </row>
    <row r="631" spans="4:20" ht="15" customHeight="1">
      <c r="D631" s="30" t="s">
        <v>864</v>
      </c>
      <c r="E631" s="30" t="s">
        <v>46</v>
      </c>
      <c r="F631" s="35" t="s">
        <v>335</v>
      </c>
      <c r="I631" s="30" t="s">
        <v>333</v>
      </c>
      <c r="J631" s="30">
        <v>1</v>
      </c>
      <c r="K631" s="30" t="s">
        <v>35</v>
      </c>
      <c r="L631" s="30" t="s">
        <v>336</v>
      </c>
      <c r="M631" s="30" t="s">
        <v>325</v>
      </c>
      <c r="P631" s="129"/>
      <c r="Q631" s="129"/>
      <c r="R631" s="129"/>
      <c r="S631" s="129"/>
      <c r="T631" s="67" t="s">
        <v>454</v>
      </c>
    </row>
    <row r="632" spans="4:20" ht="15" customHeight="1">
      <c r="D632" s="30" t="s">
        <v>864</v>
      </c>
      <c r="E632" s="30" t="s">
        <v>337</v>
      </c>
      <c r="F632" s="35" t="s">
        <v>387</v>
      </c>
      <c r="I632" s="30" t="s">
        <v>333</v>
      </c>
      <c r="J632" s="30">
        <v>1</v>
      </c>
      <c r="K632" s="30" t="s">
        <v>35</v>
      </c>
      <c r="L632" s="30" t="s">
        <v>336</v>
      </c>
      <c r="M632" s="30" t="s">
        <v>325</v>
      </c>
      <c r="P632" s="129"/>
      <c r="Q632" s="129"/>
      <c r="R632" s="129"/>
      <c r="S632" s="129"/>
      <c r="T632" s="67" t="s">
        <v>532</v>
      </c>
    </row>
    <row r="633" spans="4:20" ht="15" customHeight="1">
      <c r="D633" s="30" t="s">
        <v>864</v>
      </c>
      <c r="E633" s="30" t="s">
        <v>334</v>
      </c>
      <c r="H633" s="35" t="s">
        <v>386</v>
      </c>
      <c r="I633" s="30" t="s">
        <v>333</v>
      </c>
      <c r="J633" s="30">
        <v>1</v>
      </c>
      <c r="K633" s="30" t="s">
        <v>35</v>
      </c>
      <c r="L633" s="30" t="s">
        <v>336</v>
      </c>
      <c r="M633" s="30" t="s">
        <v>325</v>
      </c>
      <c r="P633" s="129"/>
      <c r="Q633" s="129"/>
      <c r="R633" s="129"/>
      <c r="S633" s="129"/>
      <c r="T633" s="67" t="s">
        <v>455</v>
      </c>
    </row>
    <row r="634" spans="4:20" ht="15" customHeight="1">
      <c r="D634" s="30" t="s">
        <v>864</v>
      </c>
      <c r="E634" s="30" t="s">
        <v>338</v>
      </c>
      <c r="F634" s="35" t="s">
        <v>339</v>
      </c>
      <c r="I634" s="30" t="s">
        <v>333</v>
      </c>
      <c r="J634" s="30">
        <v>1</v>
      </c>
      <c r="K634" s="30" t="s">
        <v>35</v>
      </c>
      <c r="L634" s="30" t="s">
        <v>107</v>
      </c>
      <c r="M634" s="30" t="s">
        <v>325</v>
      </c>
      <c r="P634" s="129"/>
      <c r="Q634" s="129"/>
      <c r="R634" s="129"/>
      <c r="S634" s="129"/>
      <c r="T634" s="67" t="s">
        <v>700</v>
      </c>
    </row>
    <row r="635" spans="4:20" ht="15" customHeight="1">
      <c r="D635" s="30" t="s">
        <v>864</v>
      </c>
      <c r="E635" s="30" t="s">
        <v>322</v>
      </c>
      <c r="G635" s="35" t="s">
        <v>384</v>
      </c>
      <c r="H635" s="35" t="s">
        <v>426</v>
      </c>
      <c r="I635" s="30" t="s">
        <v>48</v>
      </c>
      <c r="J635" s="30">
        <v>2</v>
      </c>
      <c r="K635" s="30" t="s">
        <v>35</v>
      </c>
      <c r="L635" s="30" t="s">
        <v>324</v>
      </c>
      <c r="M635" s="30" t="s">
        <v>325</v>
      </c>
      <c r="P635" s="129"/>
      <c r="Q635" s="129"/>
      <c r="R635" s="129"/>
      <c r="S635" s="129"/>
      <c r="T635" s="67" t="s">
        <v>461</v>
      </c>
    </row>
    <row r="636" spans="4:20" ht="15" customHeight="1">
      <c r="D636" s="30" t="s">
        <v>864</v>
      </c>
      <c r="E636" s="30" t="s">
        <v>45</v>
      </c>
      <c r="G636" s="35" t="s">
        <v>505</v>
      </c>
      <c r="H636" s="35" t="s">
        <v>378</v>
      </c>
      <c r="I636" s="30" t="s">
        <v>48</v>
      </c>
      <c r="J636" s="30">
        <v>2</v>
      </c>
      <c r="K636" s="30" t="s">
        <v>35</v>
      </c>
      <c r="L636" s="30" t="s">
        <v>358</v>
      </c>
      <c r="M636" s="30" t="s">
        <v>325</v>
      </c>
      <c r="P636" s="129"/>
      <c r="Q636" s="129"/>
      <c r="R636" s="129"/>
      <c r="S636" s="129"/>
      <c r="T636" s="67" t="s">
        <v>466</v>
      </c>
    </row>
    <row r="637" spans="4:20" ht="15" customHeight="1">
      <c r="D637" s="30" t="s">
        <v>864</v>
      </c>
      <c r="E637" s="30" t="s">
        <v>331</v>
      </c>
      <c r="F637" s="35" t="s">
        <v>345</v>
      </c>
      <c r="I637" s="30" t="s">
        <v>333</v>
      </c>
      <c r="J637" s="30">
        <v>1</v>
      </c>
      <c r="K637" s="30" t="s">
        <v>35</v>
      </c>
      <c r="L637" s="30" t="s">
        <v>107</v>
      </c>
      <c r="M637" s="30" t="s">
        <v>325</v>
      </c>
      <c r="P637" s="129"/>
      <c r="Q637" s="129"/>
      <c r="R637" s="129"/>
      <c r="S637" s="129"/>
      <c r="T637" s="67" t="s">
        <v>537</v>
      </c>
    </row>
    <row r="638" spans="4:20" ht="15" customHeight="1">
      <c r="D638" s="30" t="s">
        <v>864</v>
      </c>
      <c r="E638" s="30" t="s">
        <v>353</v>
      </c>
      <c r="F638" s="35" t="s">
        <v>354</v>
      </c>
      <c r="I638" s="30" t="s">
        <v>355</v>
      </c>
      <c r="J638" s="30" t="s">
        <v>352</v>
      </c>
      <c r="K638" s="30" t="s">
        <v>35</v>
      </c>
      <c r="L638" s="30" t="s">
        <v>107</v>
      </c>
      <c r="M638" s="30" t="s">
        <v>325</v>
      </c>
      <c r="P638" s="129"/>
      <c r="Q638" s="129"/>
      <c r="R638" s="129"/>
      <c r="S638" s="129"/>
      <c r="T638" s="67" t="s">
        <v>642</v>
      </c>
    </row>
    <row r="639" spans="4:20" ht="15" customHeight="1">
      <c r="D639" s="30" t="s">
        <v>864</v>
      </c>
      <c r="E639" s="30" t="s">
        <v>326</v>
      </c>
      <c r="G639" s="35" t="s">
        <v>530</v>
      </c>
      <c r="H639" s="35" t="s">
        <v>624</v>
      </c>
      <c r="I639" s="30" t="s">
        <v>329</v>
      </c>
      <c r="J639" s="30">
        <v>2</v>
      </c>
      <c r="K639" s="30" t="s">
        <v>35</v>
      </c>
      <c r="L639" s="30" t="s">
        <v>330</v>
      </c>
      <c r="M639" s="30" t="s">
        <v>325</v>
      </c>
      <c r="P639" s="129"/>
      <c r="Q639" s="129"/>
      <c r="R639" s="129"/>
      <c r="S639" s="129"/>
      <c r="T639" s="67" t="s">
        <v>551</v>
      </c>
    </row>
    <row r="640" spans="4:20" ht="15" customHeight="1">
      <c r="D640" s="30" t="s">
        <v>864</v>
      </c>
      <c r="E640" s="30" t="s">
        <v>349</v>
      </c>
      <c r="F640" s="35" t="s">
        <v>573</v>
      </c>
      <c r="I640" s="30" t="s">
        <v>351</v>
      </c>
      <c r="J640" s="30" t="s">
        <v>352</v>
      </c>
      <c r="K640" s="30" t="s">
        <v>35</v>
      </c>
      <c r="L640" s="30" t="s">
        <v>324</v>
      </c>
      <c r="M640" s="30" t="s">
        <v>325</v>
      </c>
      <c r="P640" s="129"/>
      <c r="Q640" s="129"/>
      <c r="R640" s="129"/>
      <c r="S640" s="129"/>
      <c r="T640" s="67" t="s">
        <v>858</v>
      </c>
    </row>
    <row r="641" spans="4:20" ht="15" customHeight="1">
      <c r="D641" s="30" t="s">
        <v>865</v>
      </c>
      <c r="E641" s="30" t="s">
        <v>46</v>
      </c>
      <c r="F641" s="35" t="s">
        <v>335</v>
      </c>
      <c r="I641" s="30" t="s">
        <v>333</v>
      </c>
      <c r="J641" s="30">
        <v>1</v>
      </c>
      <c r="K641" s="30" t="s">
        <v>35</v>
      </c>
      <c r="L641" s="30" t="s">
        <v>336</v>
      </c>
      <c r="M641" s="30" t="s">
        <v>325</v>
      </c>
      <c r="P641" s="129"/>
      <c r="Q641" s="129"/>
      <c r="R641" s="129"/>
      <c r="S641" s="129"/>
      <c r="T641" s="67" t="s">
        <v>859</v>
      </c>
    </row>
    <row r="642" spans="4:20" ht="15" customHeight="1">
      <c r="D642" s="30" t="s">
        <v>865</v>
      </c>
      <c r="E642" s="30" t="s">
        <v>337</v>
      </c>
      <c r="F642" s="35" t="s">
        <v>415</v>
      </c>
      <c r="I642" s="30" t="s">
        <v>333</v>
      </c>
      <c r="J642" s="30">
        <v>1</v>
      </c>
      <c r="K642" s="30" t="s">
        <v>35</v>
      </c>
      <c r="L642" s="30" t="s">
        <v>336</v>
      </c>
      <c r="M642" s="30" t="s">
        <v>325</v>
      </c>
      <c r="P642" s="129"/>
      <c r="Q642" s="129"/>
      <c r="R642" s="129"/>
      <c r="S642" s="129"/>
      <c r="T642" s="67" t="s">
        <v>658</v>
      </c>
    </row>
    <row r="643" spans="4:20" ht="15" customHeight="1">
      <c r="D643" s="30" t="s">
        <v>865</v>
      </c>
      <c r="E643" s="30" t="s">
        <v>334</v>
      </c>
      <c r="F643" s="35" t="s">
        <v>335</v>
      </c>
      <c r="I643" s="30" t="s">
        <v>333</v>
      </c>
      <c r="J643" s="30">
        <v>1</v>
      </c>
      <c r="K643" s="30" t="s">
        <v>35</v>
      </c>
      <c r="L643" s="30" t="s">
        <v>336</v>
      </c>
      <c r="M643" s="30" t="s">
        <v>325</v>
      </c>
      <c r="P643" s="129"/>
      <c r="Q643" s="129"/>
      <c r="R643" s="129"/>
      <c r="S643" s="129"/>
      <c r="T643" s="67" t="s">
        <v>478</v>
      </c>
    </row>
    <row r="644" spans="4:20" ht="15" customHeight="1">
      <c r="D644" s="30" t="s">
        <v>865</v>
      </c>
      <c r="E644" s="30" t="s">
        <v>338</v>
      </c>
      <c r="F644" s="35" t="s">
        <v>339</v>
      </c>
      <c r="I644" s="30" t="s">
        <v>333</v>
      </c>
      <c r="J644" s="30">
        <v>1</v>
      </c>
      <c r="K644" s="30" t="s">
        <v>35</v>
      </c>
      <c r="L644" s="30" t="s">
        <v>107</v>
      </c>
      <c r="M644" s="30" t="s">
        <v>325</v>
      </c>
      <c r="P644" s="129"/>
      <c r="Q644" s="129"/>
      <c r="R644" s="129"/>
      <c r="S644" s="129"/>
      <c r="T644" s="67" t="s">
        <v>597</v>
      </c>
    </row>
    <row r="645" spans="4:20" ht="15" customHeight="1">
      <c r="D645" s="30" t="s">
        <v>865</v>
      </c>
      <c r="E645" s="30" t="s">
        <v>322</v>
      </c>
      <c r="G645" s="35" t="s">
        <v>452</v>
      </c>
      <c r="H645" s="35" t="s">
        <v>341</v>
      </c>
      <c r="I645" s="30" t="s">
        <v>48</v>
      </c>
      <c r="J645" s="30">
        <v>2</v>
      </c>
      <c r="K645" s="30" t="s">
        <v>35</v>
      </c>
      <c r="L645" s="30" t="s">
        <v>324</v>
      </c>
      <c r="M645" s="30" t="s">
        <v>325</v>
      </c>
      <c r="P645" s="129"/>
      <c r="Q645" s="129"/>
      <c r="R645" s="129"/>
      <c r="S645" s="129"/>
      <c r="T645" s="67" t="s">
        <v>482</v>
      </c>
    </row>
    <row r="646" spans="4:20" ht="15" customHeight="1">
      <c r="D646" s="30" t="s">
        <v>865</v>
      </c>
      <c r="E646" s="30" t="s">
        <v>45</v>
      </c>
      <c r="G646" s="35" t="s">
        <v>622</v>
      </c>
      <c r="H646" s="35" t="s">
        <v>356</v>
      </c>
      <c r="I646" s="30" t="s">
        <v>48</v>
      </c>
      <c r="J646" s="30">
        <v>2</v>
      </c>
      <c r="K646" s="30" t="s">
        <v>35</v>
      </c>
      <c r="L646" s="30" t="s">
        <v>358</v>
      </c>
      <c r="M646" s="30" t="s">
        <v>325</v>
      </c>
      <c r="P646" s="129"/>
      <c r="Q646" s="129"/>
      <c r="R646" s="129"/>
      <c r="S646" s="129"/>
      <c r="T646" s="67" t="s">
        <v>488</v>
      </c>
    </row>
    <row r="647" spans="4:20" ht="15" customHeight="1">
      <c r="D647" s="30" t="s">
        <v>865</v>
      </c>
      <c r="E647" s="30" t="s">
        <v>331</v>
      </c>
      <c r="F647" s="35" t="s">
        <v>345</v>
      </c>
      <c r="I647" s="30" t="s">
        <v>333</v>
      </c>
      <c r="J647" s="30">
        <v>1</v>
      </c>
      <c r="K647" s="30" t="s">
        <v>35</v>
      </c>
      <c r="L647" s="30" t="s">
        <v>107</v>
      </c>
      <c r="M647" s="30" t="s">
        <v>325</v>
      </c>
      <c r="P647" s="129"/>
      <c r="Q647" s="129"/>
      <c r="R647" s="129"/>
      <c r="S647" s="129"/>
      <c r="T647" s="67" t="s">
        <v>857</v>
      </c>
    </row>
    <row r="648" spans="4:20" ht="15" customHeight="1">
      <c r="D648" s="30" t="s">
        <v>865</v>
      </c>
      <c r="E648" s="30" t="s">
        <v>353</v>
      </c>
      <c r="F648" s="35" t="s">
        <v>354</v>
      </c>
      <c r="I648" s="30" t="s">
        <v>355</v>
      </c>
      <c r="J648" s="30" t="s">
        <v>352</v>
      </c>
      <c r="K648" s="30" t="s">
        <v>35</v>
      </c>
      <c r="L648" s="30" t="s">
        <v>107</v>
      </c>
      <c r="M648" s="30" t="s">
        <v>325</v>
      </c>
      <c r="P648" s="129"/>
      <c r="Q648" s="129"/>
      <c r="R648" s="129"/>
      <c r="S648" s="129"/>
      <c r="T648" s="67" t="s">
        <v>672</v>
      </c>
    </row>
    <row r="649" spans="4:20" ht="15" customHeight="1">
      <c r="D649" s="30" t="s">
        <v>865</v>
      </c>
      <c r="E649" s="30" t="s">
        <v>326</v>
      </c>
      <c r="G649" s="35" t="s">
        <v>413</v>
      </c>
      <c r="H649" s="35" t="s">
        <v>343</v>
      </c>
      <c r="I649" s="30" t="s">
        <v>329</v>
      </c>
      <c r="J649" s="30">
        <v>2</v>
      </c>
      <c r="K649" s="30" t="s">
        <v>35</v>
      </c>
      <c r="L649" s="30" t="s">
        <v>330</v>
      </c>
      <c r="M649" s="30" t="s">
        <v>325</v>
      </c>
      <c r="T649" s="67" t="s">
        <v>866</v>
      </c>
    </row>
    <row r="650" spans="4:20" ht="15" customHeight="1">
      <c r="D650" s="30" t="s">
        <v>865</v>
      </c>
      <c r="E650" s="30" t="s">
        <v>349</v>
      </c>
      <c r="F650" s="35" t="s">
        <v>623</v>
      </c>
      <c r="I650" s="30" t="s">
        <v>351</v>
      </c>
      <c r="J650" s="30" t="s">
        <v>352</v>
      </c>
      <c r="K650" s="30" t="s">
        <v>35</v>
      </c>
      <c r="L650" s="30" t="s">
        <v>324</v>
      </c>
      <c r="M650" s="30" t="s">
        <v>325</v>
      </c>
      <c r="T650" s="67" t="s">
        <v>867</v>
      </c>
    </row>
    <row r="651" spans="4:20" ht="15" customHeight="1">
      <c r="D651" s="134" t="s">
        <v>858</v>
      </c>
      <c r="E651" s="30" t="s">
        <v>46</v>
      </c>
      <c r="F651" s="35" t="s">
        <v>335</v>
      </c>
      <c r="I651" s="30" t="s">
        <v>333</v>
      </c>
      <c r="J651" s="30">
        <v>1</v>
      </c>
      <c r="K651" s="30" t="s">
        <v>35</v>
      </c>
      <c r="L651" s="30" t="s">
        <v>336</v>
      </c>
      <c r="M651" s="30" t="s">
        <v>325</v>
      </c>
      <c r="T651" s="67" t="s">
        <v>868</v>
      </c>
    </row>
    <row r="652" spans="4:20" ht="15" customHeight="1">
      <c r="D652" s="134" t="s">
        <v>858</v>
      </c>
      <c r="E652" s="30" t="s">
        <v>337</v>
      </c>
      <c r="F652" s="35" t="s">
        <v>387</v>
      </c>
      <c r="I652" s="30" t="s">
        <v>333</v>
      </c>
      <c r="J652" s="30">
        <v>1</v>
      </c>
      <c r="K652" s="30" t="s">
        <v>35</v>
      </c>
      <c r="L652" s="30" t="s">
        <v>336</v>
      </c>
      <c r="M652" s="30" t="s">
        <v>325</v>
      </c>
      <c r="T652" s="67" t="s">
        <v>869</v>
      </c>
    </row>
    <row r="653" spans="4:20" ht="15" customHeight="1">
      <c r="D653" s="134" t="s">
        <v>858</v>
      </c>
      <c r="E653" s="30" t="s">
        <v>334</v>
      </c>
      <c r="H653" s="35" t="s">
        <v>386</v>
      </c>
      <c r="I653" s="30" t="s">
        <v>333</v>
      </c>
      <c r="J653" s="30">
        <v>1</v>
      </c>
      <c r="K653" s="30" t="s">
        <v>35</v>
      </c>
      <c r="L653" s="30" t="s">
        <v>336</v>
      </c>
      <c r="M653" s="30" t="s">
        <v>325</v>
      </c>
      <c r="T653" s="67" t="s">
        <v>870</v>
      </c>
    </row>
    <row r="654" spans="4:20" ht="15" customHeight="1">
      <c r="D654" s="134" t="s">
        <v>858</v>
      </c>
      <c r="E654" s="30" t="s">
        <v>338</v>
      </c>
      <c r="F654" s="35" t="s">
        <v>339</v>
      </c>
      <c r="I654" s="30" t="s">
        <v>333</v>
      </c>
      <c r="J654" s="30">
        <v>1</v>
      </c>
      <c r="K654" s="30" t="s">
        <v>35</v>
      </c>
      <c r="L654" s="30" t="s">
        <v>107</v>
      </c>
      <c r="M654" s="30" t="s">
        <v>325</v>
      </c>
      <c r="T654" s="67" t="s">
        <v>871</v>
      </c>
    </row>
    <row r="655" spans="4:20" ht="15" customHeight="1">
      <c r="D655" s="134" t="s">
        <v>858</v>
      </c>
      <c r="E655" s="30" t="s">
        <v>322</v>
      </c>
      <c r="G655" s="35" t="s">
        <v>425</v>
      </c>
      <c r="H655" s="35" t="s">
        <v>372</v>
      </c>
      <c r="I655" s="30" t="s">
        <v>48</v>
      </c>
      <c r="J655" s="30">
        <v>2</v>
      </c>
      <c r="K655" s="30" t="s">
        <v>35</v>
      </c>
      <c r="L655" s="30" t="s">
        <v>324</v>
      </c>
      <c r="M655" s="30" t="s">
        <v>325</v>
      </c>
      <c r="T655" s="67" t="s">
        <v>855</v>
      </c>
    </row>
    <row r="656" spans="4:20" ht="15" customHeight="1">
      <c r="D656" s="134" t="s">
        <v>858</v>
      </c>
      <c r="E656" s="30" t="s">
        <v>45</v>
      </c>
      <c r="G656" s="35" t="s">
        <v>430</v>
      </c>
      <c r="H656" s="35" t="s">
        <v>473</v>
      </c>
      <c r="I656" s="30" t="s">
        <v>48</v>
      </c>
      <c r="J656" s="30">
        <v>2</v>
      </c>
      <c r="K656" s="30" t="s">
        <v>35</v>
      </c>
      <c r="L656" s="30" t="s">
        <v>358</v>
      </c>
      <c r="M656" s="30" t="s">
        <v>325</v>
      </c>
      <c r="T656" s="67" t="s">
        <v>856</v>
      </c>
    </row>
    <row r="657" spans="4:20" ht="15" customHeight="1">
      <c r="D657" s="134" t="s">
        <v>858</v>
      </c>
      <c r="E657" s="30" t="s">
        <v>331</v>
      </c>
      <c r="F657" s="35" t="s">
        <v>345</v>
      </c>
      <c r="I657" s="30" t="s">
        <v>333</v>
      </c>
      <c r="J657" s="30">
        <v>1</v>
      </c>
      <c r="K657" s="30" t="s">
        <v>35</v>
      </c>
      <c r="L657" s="30" t="s">
        <v>107</v>
      </c>
      <c r="M657" s="30" t="s">
        <v>325</v>
      </c>
      <c r="T657" s="67" t="s">
        <v>872</v>
      </c>
    </row>
    <row r="658" spans="4:20" ht="15" customHeight="1">
      <c r="D658" s="134" t="s">
        <v>858</v>
      </c>
      <c r="E658" s="30" t="s">
        <v>353</v>
      </c>
      <c r="F658" s="35" t="s">
        <v>354</v>
      </c>
      <c r="I658" s="30" t="s">
        <v>355</v>
      </c>
      <c r="J658" s="30" t="s">
        <v>352</v>
      </c>
      <c r="K658" s="30" t="s">
        <v>35</v>
      </c>
      <c r="L658" s="30" t="s">
        <v>107</v>
      </c>
      <c r="M658" s="30" t="s">
        <v>325</v>
      </c>
      <c r="T658" s="67" t="s">
        <v>873</v>
      </c>
    </row>
    <row r="659" spans="4:20" ht="15" customHeight="1">
      <c r="D659" s="134" t="s">
        <v>858</v>
      </c>
      <c r="E659" s="30" t="s">
        <v>326</v>
      </c>
      <c r="G659" s="35" t="s">
        <v>457</v>
      </c>
      <c r="H659" s="35" t="s">
        <v>471</v>
      </c>
      <c r="I659" s="30" t="s">
        <v>329</v>
      </c>
      <c r="J659" s="30">
        <v>2</v>
      </c>
      <c r="K659" s="30" t="s">
        <v>35</v>
      </c>
      <c r="L659" s="30" t="s">
        <v>459</v>
      </c>
      <c r="M659" s="30" t="s">
        <v>325</v>
      </c>
      <c r="T659" s="67" t="s">
        <v>874</v>
      </c>
    </row>
    <row r="660" spans="4:20" ht="15" customHeight="1">
      <c r="D660" s="134" t="s">
        <v>858</v>
      </c>
      <c r="E660" s="30" t="s">
        <v>349</v>
      </c>
      <c r="F660" s="35" t="s">
        <v>472</v>
      </c>
      <c r="I660" s="30" t="s">
        <v>351</v>
      </c>
      <c r="J660" s="30" t="s">
        <v>352</v>
      </c>
      <c r="K660" s="30" t="s">
        <v>35</v>
      </c>
      <c r="L660" s="30" t="s">
        <v>324</v>
      </c>
      <c r="M660" s="30" t="s">
        <v>325</v>
      </c>
      <c r="T660" s="67" t="s">
        <v>875</v>
      </c>
    </row>
    <row r="661" spans="4:20" ht="15" customHeight="1">
      <c r="D661" s="134" t="s">
        <v>859</v>
      </c>
      <c r="E661" s="30" t="s">
        <v>46</v>
      </c>
      <c r="F661" s="35" t="s">
        <v>335</v>
      </c>
      <c r="I661" s="30" t="s">
        <v>333</v>
      </c>
      <c r="J661" s="30">
        <v>1</v>
      </c>
      <c r="K661" s="30" t="s">
        <v>35</v>
      </c>
      <c r="L661" s="30" t="s">
        <v>336</v>
      </c>
      <c r="M661" s="30" t="s">
        <v>325</v>
      </c>
      <c r="T661" s="67" t="s">
        <v>876</v>
      </c>
    </row>
    <row r="662" spans="4:20" ht="15" customHeight="1">
      <c r="D662" s="134" t="s">
        <v>859</v>
      </c>
      <c r="E662" s="30" t="s">
        <v>337</v>
      </c>
      <c r="F662" s="35" t="s">
        <v>387</v>
      </c>
      <c r="I662" s="30" t="s">
        <v>333</v>
      </c>
      <c r="J662" s="30">
        <v>1</v>
      </c>
      <c r="K662" s="30" t="s">
        <v>35</v>
      </c>
      <c r="L662" s="30" t="s">
        <v>336</v>
      </c>
      <c r="M662" s="30" t="s">
        <v>325</v>
      </c>
      <c r="T662" s="67" t="s">
        <v>877</v>
      </c>
    </row>
    <row r="663" spans="4:20" ht="15" customHeight="1">
      <c r="D663" s="134" t="s">
        <v>859</v>
      </c>
      <c r="E663" s="30" t="s">
        <v>334</v>
      </c>
      <c r="H663" s="35" t="s">
        <v>386</v>
      </c>
      <c r="I663" s="30" t="s">
        <v>333</v>
      </c>
      <c r="J663" s="30">
        <v>1</v>
      </c>
      <c r="K663" s="30" t="s">
        <v>35</v>
      </c>
      <c r="L663" s="30" t="s">
        <v>336</v>
      </c>
      <c r="M663" s="30" t="s">
        <v>325</v>
      </c>
      <c r="T663" s="67" t="s">
        <v>878</v>
      </c>
    </row>
    <row r="664" spans="4:20">
      <c r="D664" s="134" t="s">
        <v>859</v>
      </c>
      <c r="E664" s="30" t="s">
        <v>338</v>
      </c>
      <c r="F664" s="35" t="s">
        <v>339</v>
      </c>
      <c r="I664" s="30" t="s">
        <v>333</v>
      </c>
      <c r="J664" s="30">
        <v>1</v>
      </c>
      <c r="K664" s="30" t="s">
        <v>35</v>
      </c>
      <c r="L664" s="30" t="s">
        <v>107</v>
      </c>
      <c r="M664" s="30" t="s">
        <v>325</v>
      </c>
      <c r="T664" s="67" t="s">
        <v>879</v>
      </c>
    </row>
    <row r="665" spans="4:20">
      <c r="D665" s="134" t="s">
        <v>859</v>
      </c>
      <c r="E665" s="30" t="s">
        <v>322</v>
      </c>
      <c r="G665" s="35" t="s">
        <v>474</v>
      </c>
      <c r="H665" s="35" t="s">
        <v>475</v>
      </c>
      <c r="I665" s="30" t="s">
        <v>48</v>
      </c>
      <c r="J665" s="30">
        <v>2</v>
      </c>
      <c r="K665" s="30" t="s">
        <v>35</v>
      </c>
      <c r="L665" s="30" t="s">
        <v>324</v>
      </c>
      <c r="M665" s="30" t="s">
        <v>325</v>
      </c>
      <c r="T665" s="67" t="s">
        <v>880</v>
      </c>
    </row>
    <row r="666" spans="4:20">
      <c r="D666" s="134" t="s">
        <v>859</v>
      </c>
      <c r="E666" s="30" t="s">
        <v>45</v>
      </c>
      <c r="G666" s="35" t="s">
        <v>430</v>
      </c>
      <c r="H666" s="35" t="s">
        <v>473</v>
      </c>
      <c r="I666" s="30" t="s">
        <v>48</v>
      </c>
      <c r="J666" s="30">
        <v>2</v>
      </c>
      <c r="K666" s="30" t="s">
        <v>35</v>
      </c>
      <c r="L666" s="30" t="s">
        <v>358</v>
      </c>
      <c r="M666" s="30" t="s">
        <v>325</v>
      </c>
      <c r="T666" s="67" t="s">
        <v>881</v>
      </c>
    </row>
    <row r="667" spans="4:20">
      <c r="D667" s="134" t="s">
        <v>859</v>
      </c>
      <c r="E667" s="30" t="s">
        <v>331</v>
      </c>
      <c r="F667" s="35" t="s">
        <v>345</v>
      </c>
      <c r="I667" s="30" t="s">
        <v>333</v>
      </c>
      <c r="J667" s="30">
        <v>1</v>
      </c>
      <c r="K667" s="30" t="s">
        <v>35</v>
      </c>
      <c r="L667" s="30" t="s">
        <v>107</v>
      </c>
      <c r="M667" s="30" t="s">
        <v>325</v>
      </c>
      <c r="T667" s="67" t="s">
        <v>882</v>
      </c>
    </row>
    <row r="668" spans="4:20">
      <c r="D668" s="134" t="s">
        <v>859</v>
      </c>
      <c r="E668" s="30" t="s">
        <v>353</v>
      </c>
      <c r="F668" s="35" t="s">
        <v>354</v>
      </c>
      <c r="I668" s="30" t="s">
        <v>355</v>
      </c>
      <c r="J668" s="30" t="s">
        <v>352</v>
      </c>
      <c r="K668" s="30" t="s">
        <v>35</v>
      </c>
      <c r="L668" s="30" t="s">
        <v>107</v>
      </c>
      <c r="M668" s="30" t="s">
        <v>325</v>
      </c>
      <c r="T668" s="67" t="s">
        <v>883</v>
      </c>
    </row>
    <row r="669" spans="4:20">
      <c r="D669" s="134" t="s">
        <v>859</v>
      </c>
      <c r="E669" s="30" t="s">
        <v>326</v>
      </c>
      <c r="G669" s="35" t="s">
        <v>476</v>
      </c>
      <c r="H669" s="35" t="s">
        <v>477</v>
      </c>
      <c r="I669" s="30" t="s">
        <v>329</v>
      </c>
      <c r="J669" s="30">
        <v>2</v>
      </c>
      <c r="K669" s="30" t="s">
        <v>35</v>
      </c>
      <c r="L669" s="30" t="s">
        <v>459</v>
      </c>
      <c r="M669" s="30" t="s">
        <v>325</v>
      </c>
      <c r="T669" s="67" t="s">
        <v>884</v>
      </c>
    </row>
    <row r="670" spans="4:20">
      <c r="D670" s="134" t="s">
        <v>859</v>
      </c>
      <c r="E670" s="30" t="s">
        <v>349</v>
      </c>
      <c r="F670" s="35" t="s">
        <v>472</v>
      </c>
      <c r="I670" s="30" t="s">
        <v>351</v>
      </c>
      <c r="J670" s="30" t="s">
        <v>352</v>
      </c>
      <c r="K670" s="30" t="s">
        <v>35</v>
      </c>
      <c r="L670" s="30" t="s">
        <v>324</v>
      </c>
      <c r="M670" s="30" t="s">
        <v>325</v>
      </c>
      <c r="T670" s="67" t="s">
        <v>885</v>
      </c>
    </row>
    <row r="671" spans="4:20">
      <c r="D671" s="134" t="s">
        <v>857</v>
      </c>
      <c r="E671" s="30" t="s">
        <v>46</v>
      </c>
      <c r="F671" s="35" t="s">
        <v>335</v>
      </c>
      <c r="I671" s="30" t="s">
        <v>333</v>
      </c>
      <c r="J671" s="30">
        <v>1</v>
      </c>
      <c r="K671" s="30" t="s">
        <v>35</v>
      </c>
      <c r="L671" s="30" t="s">
        <v>336</v>
      </c>
      <c r="M671" s="30" t="s">
        <v>325</v>
      </c>
      <c r="T671" s="67" t="s">
        <v>886</v>
      </c>
    </row>
    <row r="672" spans="4:20">
      <c r="D672" s="134" t="s">
        <v>857</v>
      </c>
      <c r="E672" s="30" t="s">
        <v>337</v>
      </c>
      <c r="F672" s="35" t="s">
        <v>387</v>
      </c>
      <c r="I672" s="30" t="s">
        <v>333</v>
      </c>
      <c r="J672" s="30">
        <v>1</v>
      </c>
      <c r="K672" s="30" t="s">
        <v>35</v>
      </c>
      <c r="L672" s="30" t="s">
        <v>336</v>
      </c>
      <c r="M672" s="30" t="s">
        <v>325</v>
      </c>
      <c r="T672"/>
    </row>
    <row r="673" spans="4:20">
      <c r="D673" s="134" t="s">
        <v>857</v>
      </c>
      <c r="E673" s="30" t="s">
        <v>334</v>
      </c>
      <c r="H673" s="35" t="s">
        <v>386</v>
      </c>
      <c r="I673" s="30" t="s">
        <v>333</v>
      </c>
      <c r="J673" s="30">
        <v>1</v>
      </c>
      <c r="K673" s="30" t="s">
        <v>35</v>
      </c>
      <c r="L673" s="30" t="s">
        <v>336</v>
      </c>
      <c r="M673" s="30" t="s">
        <v>325</v>
      </c>
      <c r="T673"/>
    </row>
    <row r="674" spans="4:20" ht="15" customHeight="1">
      <c r="D674" s="134" t="s">
        <v>857</v>
      </c>
      <c r="E674" s="30" t="s">
        <v>338</v>
      </c>
      <c r="F674" s="35" t="s">
        <v>339</v>
      </c>
      <c r="I674" s="30" t="s">
        <v>333</v>
      </c>
      <c r="J674" s="30">
        <v>1</v>
      </c>
      <c r="K674" s="30" t="s">
        <v>35</v>
      </c>
      <c r="L674" s="30" t="s">
        <v>107</v>
      </c>
      <c r="M674" s="30" t="s">
        <v>325</v>
      </c>
      <c r="T674"/>
    </row>
    <row r="675" spans="4:20" ht="15" customHeight="1">
      <c r="D675" s="134" t="s">
        <v>857</v>
      </c>
      <c r="E675" s="30" t="s">
        <v>322</v>
      </c>
      <c r="G675" s="35" t="s">
        <v>425</v>
      </c>
      <c r="H675" s="35" t="s">
        <v>479</v>
      </c>
      <c r="I675" s="30" t="s">
        <v>48</v>
      </c>
      <c r="J675" s="30">
        <v>2</v>
      </c>
      <c r="K675" s="30" t="s">
        <v>35</v>
      </c>
      <c r="L675" s="30" t="s">
        <v>324</v>
      </c>
      <c r="M675" s="30" t="s">
        <v>325</v>
      </c>
      <c r="T675"/>
    </row>
    <row r="676" spans="4:20" ht="15" customHeight="1">
      <c r="D676" s="134" t="s">
        <v>857</v>
      </c>
      <c r="E676" s="30" t="s">
        <v>45</v>
      </c>
      <c r="G676" s="35" t="s">
        <v>430</v>
      </c>
      <c r="H676" s="35" t="s">
        <v>357</v>
      </c>
      <c r="I676" s="30" t="s">
        <v>48</v>
      </c>
      <c r="J676" s="30">
        <v>2</v>
      </c>
      <c r="K676" s="30" t="s">
        <v>35</v>
      </c>
      <c r="L676" s="30" t="s">
        <v>358</v>
      </c>
      <c r="M676" s="30" t="s">
        <v>325</v>
      </c>
      <c r="T676"/>
    </row>
    <row r="677" spans="4:20" ht="15" customHeight="1">
      <c r="D677" s="134" t="s">
        <v>857</v>
      </c>
      <c r="E677" s="30" t="s">
        <v>331</v>
      </c>
      <c r="F677" s="35" t="s">
        <v>345</v>
      </c>
      <c r="I677" s="30" t="s">
        <v>333</v>
      </c>
      <c r="J677" s="30">
        <v>1</v>
      </c>
      <c r="K677" s="30" t="s">
        <v>35</v>
      </c>
      <c r="L677" s="30" t="s">
        <v>107</v>
      </c>
      <c r="M677" s="30" t="s">
        <v>325</v>
      </c>
      <c r="T677"/>
    </row>
    <row r="678" spans="4:20" ht="15" customHeight="1">
      <c r="D678" s="134" t="s">
        <v>857</v>
      </c>
      <c r="E678" s="30" t="s">
        <v>353</v>
      </c>
      <c r="F678" s="35" t="s">
        <v>354</v>
      </c>
      <c r="I678" s="30" t="s">
        <v>355</v>
      </c>
      <c r="J678" s="30" t="s">
        <v>352</v>
      </c>
      <c r="K678" s="30" t="s">
        <v>35</v>
      </c>
      <c r="L678" s="30" t="s">
        <v>107</v>
      </c>
      <c r="M678" s="30" t="s">
        <v>325</v>
      </c>
      <c r="T678"/>
    </row>
    <row r="679" spans="4:20">
      <c r="D679" s="134" t="s">
        <v>857</v>
      </c>
      <c r="E679" s="30" t="s">
        <v>326</v>
      </c>
      <c r="G679" s="35" t="s">
        <v>489</v>
      </c>
      <c r="H679" s="35" t="s">
        <v>492</v>
      </c>
      <c r="I679" s="30" t="s">
        <v>329</v>
      </c>
      <c r="J679" s="30">
        <v>2</v>
      </c>
      <c r="K679" s="30" t="s">
        <v>35</v>
      </c>
      <c r="L679" s="30" t="s">
        <v>459</v>
      </c>
      <c r="M679" s="30" t="s">
        <v>325</v>
      </c>
      <c r="T679"/>
    </row>
    <row r="680" spans="4:20">
      <c r="D680" s="134" t="s">
        <v>857</v>
      </c>
      <c r="E680" s="30" t="s">
        <v>349</v>
      </c>
      <c r="F680" s="35" t="s">
        <v>491</v>
      </c>
      <c r="I680" s="30" t="s">
        <v>351</v>
      </c>
      <c r="J680" s="30" t="s">
        <v>352</v>
      </c>
      <c r="K680" s="30" t="s">
        <v>35</v>
      </c>
      <c r="L680" s="30" t="s">
        <v>324</v>
      </c>
      <c r="M680" s="30" t="s">
        <v>325</v>
      </c>
      <c r="T680"/>
    </row>
    <row r="681" spans="4:20">
      <c r="D681" s="30" t="s">
        <v>867</v>
      </c>
      <c r="E681" s="30" t="s">
        <v>46</v>
      </c>
      <c r="F681" s="35" t="s">
        <v>335</v>
      </c>
      <c r="I681" s="30" t="s">
        <v>333</v>
      </c>
      <c r="J681" s="30">
        <v>1</v>
      </c>
      <c r="K681" s="30" t="s">
        <v>35</v>
      </c>
      <c r="L681" s="30" t="s">
        <v>336</v>
      </c>
      <c r="M681" s="30" t="s">
        <v>325</v>
      </c>
      <c r="T681"/>
    </row>
    <row r="682" spans="4:20">
      <c r="D682" s="30" t="s">
        <v>867</v>
      </c>
      <c r="E682" s="30" t="s">
        <v>337</v>
      </c>
      <c r="F682" s="35" t="s">
        <v>368</v>
      </c>
      <c r="I682" s="30" t="s">
        <v>333</v>
      </c>
      <c r="J682" s="30">
        <v>1</v>
      </c>
      <c r="K682" s="30" t="s">
        <v>35</v>
      </c>
      <c r="L682" s="30" t="s">
        <v>336</v>
      </c>
      <c r="M682" s="30" t="s">
        <v>325</v>
      </c>
      <c r="T682"/>
    </row>
    <row r="683" spans="4:20">
      <c r="D683" s="30" t="s">
        <v>867</v>
      </c>
      <c r="E683" s="30" t="s">
        <v>334</v>
      </c>
      <c r="H683" s="35" t="s">
        <v>386</v>
      </c>
      <c r="I683" s="30" t="s">
        <v>333</v>
      </c>
      <c r="J683" s="30">
        <v>1</v>
      </c>
      <c r="K683" s="30" t="s">
        <v>35</v>
      </c>
      <c r="L683" s="30" t="s">
        <v>336</v>
      </c>
      <c r="M683" s="30" t="s">
        <v>325</v>
      </c>
      <c r="T683"/>
    </row>
    <row r="684" spans="4:20">
      <c r="D684" s="30" t="s">
        <v>867</v>
      </c>
      <c r="E684" s="30" t="s">
        <v>338</v>
      </c>
      <c r="F684" s="35" t="s">
        <v>339</v>
      </c>
      <c r="I684" s="30" t="s">
        <v>333</v>
      </c>
      <c r="J684" s="30">
        <v>1</v>
      </c>
      <c r="K684" s="30" t="s">
        <v>35</v>
      </c>
      <c r="L684" s="30" t="s">
        <v>107</v>
      </c>
      <c r="M684" s="30" t="s">
        <v>325</v>
      </c>
      <c r="T684"/>
    </row>
    <row r="685" spans="4:20">
      <c r="D685" s="30" t="s">
        <v>867</v>
      </c>
      <c r="E685" s="30" t="s">
        <v>322</v>
      </c>
      <c r="G685" s="35" t="s">
        <v>390</v>
      </c>
      <c r="H685" s="35" t="s">
        <v>377</v>
      </c>
      <c r="I685" s="30" t="s">
        <v>48</v>
      </c>
      <c r="J685" s="30">
        <v>2</v>
      </c>
      <c r="K685" s="30" t="s">
        <v>35</v>
      </c>
      <c r="L685" s="30" t="s">
        <v>324</v>
      </c>
      <c r="M685" s="30" t="s">
        <v>325</v>
      </c>
      <c r="T685"/>
    </row>
    <row r="686" spans="4:20">
      <c r="D686" s="30" t="s">
        <v>867</v>
      </c>
      <c r="E686" s="30" t="s">
        <v>45</v>
      </c>
      <c r="G686" s="35" t="s">
        <v>378</v>
      </c>
      <c r="H686" s="35" t="s">
        <v>379</v>
      </c>
      <c r="I686" s="30" t="s">
        <v>48</v>
      </c>
      <c r="J686" s="30">
        <v>2</v>
      </c>
      <c r="K686" s="30" t="s">
        <v>35</v>
      </c>
      <c r="L686" s="30" t="s">
        <v>358</v>
      </c>
      <c r="M686" s="30" t="s">
        <v>325</v>
      </c>
      <c r="T686"/>
    </row>
    <row r="687" spans="4:20">
      <c r="D687" s="30" t="s">
        <v>867</v>
      </c>
      <c r="E687" s="30" t="s">
        <v>331</v>
      </c>
      <c r="F687" s="35" t="s">
        <v>345</v>
      </c>
      <c r="I687" s="30" t="s">
        <v>333</v>
      </c>
      <c r="J687" s="30">
        <v>1</v>
      </c>
      <c r="K687" s="30" t="s">
        <v>35</v>
      </c>
      <c r="L687" s="30" t="s">
        <v>107</v>
      </c>
      <c r="M687" s="30" t="s">
        <v>325</v>
      </c>
      <c r="T687"/>
    </row>
    <row r="688" spans="4:20">
      <c r="D688" s="30" t="s">
        <v>867</v>
      </c>
      <c r="E688" s="30" t="s">
        <v>353</v>
      </c>
      <c r="F688" s="35" t="s">
        <v>354</v>
      </c>
      <c r="I688" s="30" t="s">
        <v>355</v>
      </c>
      <c r="J688" s="30" t="s">
        <v>352</v>
      </c>
      <c r="K688" s="30" t="s">
        <v>35</v>
      </c>
      <c r="L688" s="30" t="s">
        <v>107</v>
      </c>
      <c r="M688" s="30" t="s">
        <v>325</v>
      </c>
      <c r="T688"/>
    </row>
    <row r="689" spans="4:20">
      <c r="D689" s="30" t="s">
        <v>867</v>
      </c>
      <c r="E689" s="30" t="s">
        <v>326</v>
      </c>
      <c r="G689" s="35" t="s">
        <v>493</v>
      </c>
      <c r="H689" s="35" t="s">
        <v>494</v>
      </c>
      <c r="I689" s="30" t="s">
        <v>329</v>
      </c>
      <c r="J689" s="30">
        <v>2</v>
      </c>
      <c r="K689" s="30" t="s">
        <v>35</v>
      </c>
      <c r="L689" s="30" t="s">
        <v>459</v>
      </c>
      <c r="M689" s="30" t="s">
        <v>325</v>
      </c>
      <c r="T689"/>
    </row>
    <row r="690" spans="4:20">
      <c r="D690" s="30" t="s">
        <v>867</v>
      </c>
      <c r="E690" s="30" t="s">
        <v>349</v>
      </c>
      <c r="F690" s="35" t="s">
        <v>392</v>
      </c>
      <c r="I690" s="30" t="s">
        <v>351</v>
      </c>
      <c r="J690" s="30" t="s">
        <v>352</v>
      </c>
      <c r="K690" s="30" t="s">
        <v>35</v>
      </c>
      <c r="L690" s="30" t="s">
        <v>324</v>
      </c>
      <c r="M690" s="30" t="s">
        <v>325</v>
      </c>
      <c r="T690"/>
    </row>
    <row r="691" spans="4:20" ht="15" customHeight="1">
      <c r="D691" s="30" t="s">
        <v>868</v>
      </c>
      <c r="E691" s="30" t="s">
        <v>46</v>
      </c>
      <c r="F691" s="35" t="s">
        <v>335</v>
      </c>
      <c r="I691" s="30" t="s">
        <v>333</v>
      </c>
      <c r="J691" s="30">
        <v>1</v>
      </c>
      <c r="K691" s="30" t="s">
        <v>35</v>
      </c>
      <c r="L691" s="30" t="s">
        <v>336</v>
      </c>
      <c r="M691" s="30" t="s">
        <v>325</v>
      </c>
      <c r="T691"/>
    </row>
    <row r="692" spans="4:20" ht="15" customHeight="1">
      <c r="D692" s="30" t="s">
        <v>868</v>
      </c>
      <c r="E692" s="30" t="s">
        <v>337</v>
      </c>
      <c r="F692" s="35" t="s">
        <v>368</v>
      </c>
      <c r="I692" s="30" t="s">
        <v>333</v>
      </c>
      <c r="J692" s="30">
        <v>1</v>
      </c>
      <c r="K692" s="30" t="s">
        <v>35</v>
      </c>
      <c r="L692" s="30" t="s">
        <v>336</v>
      </c>
      <c r="M692" s="30" t="s">
        <v>325</v>
      </c>
      <c r="T692"/>
    </row>
    <row r="693" spans="4:20" ht="15" customHeight="1">
      <c r="D693" s="30" t="s">
        <v>868</v>
      </c>
      <c r="E693" s="30" t="s">
        <v>334</v>
      </c>
      <c r="H693" s="35" t="s">
        <v>386</v>
      </c>
      <c r="I693" s="30" t="s">
        <v>333</v>
      </c>
      <c r="J693" s="30">
        <v>1</v>
      </c>
      <c r="K693" s="30" t="s">
        <v>35</v>
      </c>
      <c r="L693" s="30" t="s">
        <v>336</v>
      </c>
      <c r="M693" s="30" t="s">
        <v>325</v>
      </c>
      <c r="T693"/>
    </row>
    <row r="694" spans="4:20" ht="15" customHeight="1">
      <c r="D694" s="30" t="s">
        <v>868</v>
      </c>
      <c r="E694" s="30" t="s">
        <v>338</v>
      </c>
      <c r="F694" s="35" t="s">
        <v>339</v>
      </c>
      <c r="I694" s="30" t="s">
        <v>333</v>
      </c>
      <c r="J694" s="30">
        <v>1</v>
      </c>
      <c r="K694" s="30" t="s">
        <v>35</v>
      </c>
      <c r="L694" s="30" t="s">
        <v>107</v>
      </c>
      <c r="M694" s="30" t="s">
        <v>325</v>
      </c>
      <c r="T694"/>
    </row>
    <row r="695" spans="4:20" ht="15" customHeight="1">
      <c r="D695" s="30" t="s">
        <v>868</v>
      </c>
      <c r="E695" s="30" t="s">
        <v>322</v>
      </c>
      <c r="G695" s="35" t="s">
        <v>363</v>
      </c>
      <c r="H695" s="35" t="s">
        <v>400</v>
      </c>
      <c r="I695" s="30" t="s">
        <v>48</v>
      </c>
      <c r="J695" s="30">
        <v>2</v>
      </c>
      <c r="K695" s="30" t="s">
        <v>35</v>
      </c>
      <c r="L695" s="30" t="s">
        <v>324</v>
      </c>
      <c r="M695" s="30" t="s">
        <v>325</v>
      </c>
      <c r="T695"/>
    </row>
    <row r="696" spans="4:20" ht="15" customHeight="1">
      <c r="D696" s="30" t="s">
        <v>868</v>
      </c>
      <c r="E696" s="30" t="s">
        <v>45</v>
      </c>
      <c r="G696" s="35" t="s">
        <v>378</v>
      </c>
      <c r="H696" s="35" t="s">
        <v>379</v>
      </c>
      <c r="I696" s="30" t="s">
        <v>48</v>
      </c>
      <c r="J696" s="30">
        <v>2</v>
      </c>
      <c r="K696" s="30" t="s">
        <v>35</v>
      </c>
      <c r="L696" s="30" t="s">
        <v>358</v>
      </c>
      <c r="M696" s="30" t="s">
        <v>325</v>
      </c>
      <c r="T696"/>
    </row>
    <row r="697" spans="4:20" ht="15" customHeight="1">
      <c r="D697" s="30" t="s">
        <v>868</v>
      </c>
      <c r="E697" s="30" t="s">
        <v>347</v>
      </c>
      <c r="G697" s="35" t="s">
        <v>434</v>
      </c>
      <c r="I697" s="30" t="s">
        <v>329</v>
      </c>
      <c r="J697" s="30">
        <v>2</v>
      </c>
      <c r="K697" s="30" t="s">
        <v>35</v>
      </c>
      <c r="L697" s="30" t="s">
        <v>330</v>
      </c>
      <c r="M697" s="30" t="s">
        <v>325</v>
      </c>
      <c r="T697"/>
    </row>
    <row r="698" spans="4:20" ht="15" customHeight="1">
      <c r="D698" s="30" t="s">
        <v>868</v>
      </c>
      <c r="E698" s="30" t="s">
        <v>331</v>
      </c>
      <c r="F698" s="35" t="s">
        <v>345</v>
      </c>
      <c r="I698" s="30" t="s">
        <v>333</v>
      </c>
      <c r="J698" s="30">
        <v>1</v>
      </c>
      <c r="K698" s="30" t="s">
        <v>35</v>
      </c>
      <c r="L698" s="30" t="s">
        <v>107</v>
      </c>
      <c r="M698" s="30" t="s">
        <v>325</v>
      </c>
      <c r="T698"/>
    </row>
    <row r="699" spans="4:20" ht="15" customHeight="1">
      <c r="D699" s="30" t="s">
        <v>868</v>
      </c>
      <c r="E699" s="30" t="s">
        <v>326</v>
      </c>
      <c r="G699" s="35" t="s">
        <v>458</v>
      </c>
      <c r="H699" s="35" t="s">
        <v>524</v>
      </c>
      <c r="I699" s="30" t="s">
        <v>329</v>
      </c>
      <c r="J699" s="30">
        <v>2</v>
      </c>
      <c r="K699" s="30" t="s">
        <v>35</v>
      </c>
      <c r="L699" s="30" t="s">
        <v>459</v>
      </c>
      <c r="M699" s="30" t="s">
        <v>325</v>
      </c>
      <c r="T699"/>
    </row>
    <row r="700" spans="4:20" ht="15" customHeight="1">
      <c r="D700" s="30" t="s">
        <v>868</v>
      </c>
      <c r="E700" s="30" t="s">
        <v>349</v>
      </c>
      <c r="F700" s="35" t="s">
        <v>410</v>
      </c>
      <c r="I700" s="30" t="s">
        <v>351</v>
      </c>
      <c r="J700" s="30" t="s">
        <v>352</v>
      </c>
      <c r="K700" s="30" t="s">
        <v>35</v>
      </c>
      <c r="L700" s="30" t="s">
        <v>324</v>
      </c>
      <c r="M700" s="30" t="s">
        <v>325</v>
      </c>
      <c r="T700"/>
    </row>
    <row r="701" spans="4:20" ht="15" customHeight="1">
      <c r="D701" s="30" t="s">
        <v>869</v>
      </c>
      <c r="E701" s="30" t="s">
        <v>46</v>
      </c>
      <c r="F701" s="35" t="s">
        <v>335</v>
      </c>
      <c r="I701" s="30" t="s">
        <v>333</v>
      </c>
      <c r="J701" s="30">
        <v>1</v>
      </c>
      <c r="K701" s="30" t="s">
        <v>35</v>
      </c>
      <c r="L701" s="30" t="s">
        <v>336</v>
      </c>
      <c r="M701" s="30" t="s">
        <v>325</v>
      </c>
      <c r="T701"/>
    </row>
    <row r="702" spans="4:20" ht="15" customHeight="1">
      <c r="D702" s="30" t="s">
        <v>869</v>
      </c>
      <c r="E702" s="30" t="s">
        <v>337</v>
      </c>
      <c r="F702" s="35" t="s">
        <v>415</v>
      </c>
      <c r="I702" s="30" t="s">
        <v>333</v>
      </c>
      <c r="J702" s="30">
        <v>1</v>
      </c>
      <c r="K702" s="30" t="s">
        <v>35</v>
      </c>
      <c r="L702" s="30" t="s">
        <v>336</v>
      </c>
      <c r="M702" s="30" t="s">
        <v>325</v>
      </c>
      <c r="T702"/>
    </row>
    <row r="703" spans="4:20" ht="15" customHeight="1">
      <c r="D703" s="30" t="s">
        <v>869</v>
      </c>
      <c r="E703" s="30" t="s">
        <v>334</v>
      </c>
      <c r="F703" s="35" t="s">
        <v>335</v>
      </c>
      <c r="I703" s="30" t="s">
        <v>333</v>
      </c>
      <c r="J703" s="30">
        <v>1</v>
      </c>
      <c r="K703" s="30" t="s">
        <v>35</v>
      </c>
      <c r="L703" s="30" t="s">
        <v>336</v>
      </c>
      <c r="M703" s="30" t="s">
        <v>325</v>
      </c>
      <c r="T703"/>
    </row>
    <row r="704" spans="4:20" ht="15" customHeight="1">
      <c r="D704" s="30" t="s">
        <v>869</v>
      </c>
      <c r="E704" s="30" t="s">
        <v>338</v>
      </c>
      <c r="F704" s="35" t="s">
        <v>339</v>
      </c>
      <c r="I704" s="30" t="s">
        <v>333</v>
      </c>
      <c r="J704" s="30">
        <v>1</v>
      </c>
      <c r="K704" s="30" t="s">
        <v>35</v>
      </c>
      <c r="L704" s="30" t="s">
        <v>107</v>
      </c>
      <c r="M704" s="30" t="s">
        <v>325</v>
      </c>
      <c r="T704"/>
    </row>
    <row r="705" spans="4:20" ht="15" customHeight="1">
      <c r="D705" s="30" t="s">
        <v>869</v>
      </c>
      <c r="E705" s="30" t="s">
        <v>322</v>
      </c>
      <c r="G705" s="35" t="s">
        <v>412</v>
      </c>
      <c r="H705" s="35" t="s">
        <v>363</v>
      </c>
      <c r="I705" s="30" t="s">
        <v>48</v>
      </c>
      <c r="J705" s="30">
        <v>2</v>
      </c>
      <c r="K705" s="30" t="s">
        <v>35</v>
      </c>
      <c r="L705" s="30" t="s">
        <v>324</v>
      </c>
      <c r="M705" s="30" t="s">
        <v>325</v>
      </c>
      <c r="T705"/>
    </row>
    <row r="706" spans="4:20" ht="15" customHeight="1">
      <c r="D706" s="30" t="s">
        <v>869</v>
      </c>
      <c r="E706" s="30" t="s">
        <v>45</v>
      </c>
      <c r="G706" s="35" t="s">
        <v>505</v>
      </c>
      <c r="H706" s="35" t="s">
        <v>378</v>
      </c>
      <c r="I706" s="30" t="s">
        <v>48</v>
      </c>
      <c r="J706" s="30">
        <v>2</v>
      </c>
      <c r="K706" s="30" t="s">
        <v>35</v>
      </c>
      <c r="L706" s="30" t="s">
        <v>358</v>
      </c>
      <c r="M706" s="30" t="s">
        <v>325</v>
      </c>
      <c r="T706"/>
    </row>
    <row r="707" spans="4:20" ht="15" customHeight="1">
      <c r="D707" s="30" t="s">
        <v>869</v>
      </c>
      <c r="E707" s="30" t="s">
        <v>331</v>
      </c>
      <c r="F707" s="35" t="s">
        <v>345</v>
      </c>
      <c r="I707" s="30" t="s">
        <v>333</v>
      </c>
      <c r="J707" s="30">
        <v>1</v>
      </c>
      <c r="K707" s="30" t="s">
        <v>35</v>
      </c>
      <c r="L707" s="30" t="s">
        <v>107</v>
      </c>
      <c r="M707" s="30" t="s">
        <v>325</v>
      </c>
      <c r="T707"/>
    </row>
    <row r="708" spans="4:20" ht="3" customHeight="1">
      <c r="D708" s="30" t="s">
        <v>869</v>
      </c>
      <c r="E708" s="30" t="s">
        <v>353</v>
      </c>
      <c r="F708" s="35" t="s">
        <v>354</v>
      </c>
      <c r="I708" s="30" t="s">
        <v>355</v>
      </c>
      <c r="J708" s="30" t="s">
        <v>352</v>
      </c>
      <c r="K708" s="30" t="s">
        <v>35</v>
      </c>
      <c r="L708" s="30" t="s">
        <v>107</v>
      </c>
      <c r="M708" s="30" t="s">
        <v>325</v>
      </c>
      <c r="T708"/>
    </row>
    <row r="709" spans="4:20">
      <c r="D709" s="30" t="s">
        <v>869</v>
      </c>
      <c r="E709" s="30" t="s">
        <v>326</v>
      </c>
      <c r="G709" s="35" t="s">
        <v>530</v>
      </c>
      <c r="H709" s="35" t="s">
        <v>624</v>
      </c>
      <c r="I709" s="30" t="s">
        <v>329</v>
      </c>
      <c r="J709" s="30">
        <v>2</v>
      </c>
      <c r="K709" s="30" t="s">
        <v>35</v>
      </c>
      <c r="L709" s="30" t="s">
        <v>330</v>
      </c>
      <c r="M709" s="30" t="s">
        <v>325</v>
      </c>
      <c r="T709"/>
    </row>
    <row r="710" spans="4:20">
      <c r="D710" s="30" t="s">
        <v>869</v>
      </c>
      <c r="E710" s="30" t="s">
        <v>349</v>
      </c>
      <c r="F710" s="35" t="s">
        <v>625</v>
      </c>
      <c r="I710" s="30" t="s">
        <v>351</v>
      </c>
      <c r="J710" s="30" t="s">
        <v>352</v>
      </c>
      <c r="K710" s="30" t="s">
        <v>35</v>
      </c>
      <c r="L710" s="30" t="s">
        <v>324</v>
      </c>
      <c r="M710" s="30" t="s">
        <v>325</v>
      </c>
      <c r="T710"/>
    </row>
    <row r="711" spans="4:20">
      <c r="D711" s="30" t="s">
        <v>870</v>
      </c>
      <c r="E711" s="30" t="s">
        <v>338</v>
      </c>
      <c r="F711" s="35" t="s">
        <v>339</v>
      </c>
      <c r="I711" s="30" t="s">
        <v>333</v>
      </c>
      <c r="J711" s="30">
        <v>1</v>
      </c>
      <c r="K711" s="30" t="s">
        <v>35</v>
      </c>
      <c r="L711" s="30" t="s">
        <v>107</v>
      </c>
      <c r="M711" s="30" t="s">
        <v>325</v>
      </c>
      <c r="T711"/>
    </row>
    <row r="712" spans="4:20">
      <c r="D712" s="30" t="s">
        <v>870</v>
      </c>
      <c r="E712" s="30" t="s">
        <v>322</v>
      </c>
      <c r="G712" s="35" t="s">
        <v>526</v>
      </c>
      <c r="H712" s="35" t="s">
        <v>527</v>
      </c>
      <c r="I712" s="30" t="s">
        <v>48</v>
      </c>
      <c r="J712" s="30">
        <v>2</v>
      </c>
      <c r="K712" s="30" t="s">
        <v>35</v>
      </c>
      <c r="L712" s="30" t="s">
        <v>528</v>
      </c>
      <c r="M712" s="30" t="s">
        <v>325</v>
      </c>
      <c r="T712"/>
    </row>
    <row r="713" spans="4:20">
      <c r="D713" s="30" t="s">
        <v>870</v>
      </c>
      <c r="E713" s="30" t="s">
        <v>331</v>
      </c>
      <c r="F713" s="35" t="s">
        <v>332</v>
      </c>
      <c r="I713" s="30" t="s">
        <v>333</v>
      </c>
      <c r="J713" s="30">
        <v>1</v>
      </c>
      <c r="K713" s="30" t="s">
        <v>35</v>
      </c>
      <c r="L713" s="30" t="s">
        <v>107</v>
      </c>
      <c r="M713" s="30" t="s">
        <v>325</v>
      </c>
      <c r="T713"/>
    </row>
    <row r="714" spans="4:20">
      <c r="D714" s="30" t="s">
        <v>870</v>
      </c>
      <c r="E714" s="30" t="s">
        <v>326</v>
      </c>
      <c r="G714" s="35" t="s">
        <v>529</v>
      </c>
      <c r="H714" s="35" t="s">
        <v>530</v>
      </c>
      <c r="I714" s="30" t="s">
        <v>329</v>
      </c>
      <c r="J714" s="30">
        <v>2</v>
      </c>
      <c r="K714" s="30" t="s">
        <v>35</v>
      </c>
      <c r="L714" s="30" t="s">
        <v>330</v>
      </c>
      <c r="M714" s="30" t="s">
        <v>325</v>
      </c>
      <c r="T714"/>
    </row>
    <row r="715" spans="4:20">
      <c r="D715" s="30" t="s">
        <v>870</v>
      </c>
      <c r="E715" s="30" t="s">
        <v>349</v>
      </c>
      <c r="F715" s="35" t="s">
        <v>531</v>
      </c>
      <c r="I715" s="30" t="s">
        <v>351</v>
      </c>
      <c r="J715" s="30" t="s">
        <v>352</v>
      </c>
      <c r="K715" s="30" t="s">
        <v>35</v>
      </c>
      <c r="L715" s="30" t="s">
        <v>528</v>
      </c>
      <c r="M715" s="30" t="s">
        <v>325</v>
      </c>
      <c r="T715"/>
    </row>
    <row r="716" spans="4:20">
      <c r="D716" s="30" t="s">
        <v>871</v>
      </c>
      <c r="E716" s="30" t="s">
        <v>46</v>
      </c>
      <c r="F716" s="35" t="s">
        <v>335</v>
      </c>
      <c r="I716" s="30" t="s">
        <v>333</v>
      </c>
      <c r="J716" s="30">
        <v>1</v>
      </c>
      <c r="K716" s="30" t="s">
        <v>35</v>
      </c>
      <c r="L716" s="30" t="s">
        <v>336</v>
      </c>
      <c r="M716" s="30" t="s">
        <v>325</v>
      </c>
      <c r="T716"/>
    </row>
    <row r="717" spans="4:20">
      <c r="D717" s="30" t="s">
        <v>871</v>
      </c>
      <c r="E717" s="30" t="s">
        <v>337</v>
      </c>
      <c r="F717" s="35" t="s">
        <v>335</v>
      </c>
      <c r="I717" s="30" t="s">
        <v>333</v>
      </c>
      <c r="J717" s="30">
        <v>1</v>
      </c>
      <c r="K717" s="30" t="s">
        <v>35</v>
      </c>
      <c r="L717" s="30" t="s">
        <v>336</v>
      </c>
      <c r="M717" s="30" t="s">
        <v>325</v>
      </c>
      <c r="T717"/>
    </row>
    <row r="718" spans="4:20">
      <c r="D718" s="30" t="s">
        <v>871</v>
      </c>
      <c r="E718" s="30" t="s">
        <v>334</v>
      </c>
      <c r="F718" s="35" t="s">
        <v>335</v>
      </c>
      <c r="I718" s="30" t="s">
        <v>333</v>
      </c>
      <c r="J718" s="30">
        <v>1</v>
      </c>
      <c r="K718" s="30" t="s">
        <v>35</v>
      </c>
      <c r="L718" s="30" t="s">
        <v>336</v>
      </c>
      <c r="M718" s="30" t="s">
        <v>325</v>
      </c>
      <c r="T718"/>
    </row>
    <row r="719" spans="4:20">
      <c r="D719" s="30" t="s">
        <v>871</v>
      </c>
      <c r="E719" s="30" t="s">
        <v>338</v>
      </c>
      <c r="F719" s="35" t="s">
        <v>339</v>
      </c>
      <c r="I719" s="30" t="s">
        <v>333</v>
      </c>
      <c r="J719" s="30">
        <v>1</v>
      </c>
      <c r="K719" s="30" t="s">
        <v>35</v>
      </c>
      <c r="L719" s="30" t="s">
        <v>107</v>
      </c>
      <c r="M719" s="30" t="s">
        <v>325</v>
      </c>
      <c r="T719"/>
    </row>
    <row r="720" spans="4:20" ht="15" customHeight="1">
      <c r="D720" s="30" t="s">
        <v>871</v>
      </c>
      <c r="E720" s="30" t="s">
        <v>322</v>
      </c>
      <c r="G720" s="35" t="s">
        <v>495</v>
      </c>
      <c r="H720" s="35" t="s">
        <v>496</v>
      </c>
      <c r="I720" s="30" t="s">
        <v>48</v>
      </c>
      <c r="J720" s="30">
        <v>2</v>
      </c>
      <c r="K720" s="30" t="s">
        <v>35</v>
      </c>
      <c r="L720" s="30" t="s">
        <v>497</v>
      </c>
      <c r="M720" s="30" t="s">
        <v>325</v>
      </c>
      <c r="T720"/>
    </row>
    <row r="721" spans="4:20" ht="15" customHeight="1">
      <c r="D721" s="30" t="s">
        <v>871</v>
      </c>
      <c r="E721" s="30" t="s">
        <v>331</v>
      </c>
      <c r="F721" s="35" t="s">
        <v>332</v>
      </c>
      <c r="I721" s="30" t="s">
        <v>333</v>
      </c>
      <c r="J721" s="30">
        <v>1</v>
      </c>
      <c r="K721" s="30" t="s">
        <v>35</v>
      </c>
      <c r="L721" s="30" t="s">
        <v>107</v>
      </c>
      <c r="M721" s="30" t="s">
        <v>325</v>
      </c>
      <c r="T721"/>
    </row>
    <row r="722" spans="4:20" ht="15" customHeight="1">
      <c r="D722" s="30" t="s">
        <v>871</v>
      </c>
      <c r="E722" s="30" t="s">
        <v>326</v>
      </c>
      <c r="G722" s="35" t="s">
        <v>498</v>
      </c>
      <c r="H722" s="35" t="s">
        <v>499</v>
      </c>
      <c r="I722" s="30" t="s">
        <v>329</v>
      </c>
      <c r="J722" s="30">
        <v>2</v>
      </c>
      <c r="K722" s="30" t="s">
        <v>35</v>
      </c>
      <c r="L722" s="30" t="s">
        <v>330</v>
      </c>
      <c r="M722" s="30" t="s">
        <v>325</v>
      </c>
      <c r="T722"/>
    </row>
    <row r="723" spans="4:20" ht="15" customHeight="1">
      <c r="D723" s="134" t="s">
        <v>855</v>
      </c>
      <c r="E723" s="30" t="s">
        <v>46</v>
      </c>
      <c r="F723" s="35" t="s">
        <v>335</v>
      </c>
      <c r="I723" s="30" t="s">
        <v>333</v>
      </c>
      <c r="J723" s="30">
        <v>1</v>
      </c>
      <c r="K723" s="30" t="s">
        <v>35</v>
      </c>
      <c r="L723" s="30" t="s">
        <v>336</v>
      </c>
      <c r="M723" s="30" t="s">
        <v>325</v>
      </c>
      <c r="T723"/>
    </row>
    <row r="724" spans="4:20" ht="15" customHeight="1">
      <c r="D724" s="134" t="s">
        <v>855</v>
      </c>
      <c r="E724" s="30" t="s">
        <v>337</v>
      </c>
      <c r="F724" s="35" t="s">
        <v>387</v>
      </c>
      <c r="H724" s="30"/>
      <c r="I724" s="30" t="s">
        <v>333</v>
      </c>
      <c r="J724" s="30">
        <v>1</v>
      </c>
      <c r="K724" s="30" t="s">
        <v>35</v>
      </c>
      <c r="L724" s="30" t="s">
        <v>336</v>
      </c>
      <c r="M724" s="30" t="s">
        <v>325</v>
      </c>
      <c r="T724"/>
    </row>
    <row r="725" spans="4:20" ht="15" customHeight="1">
      <c r="D725" s="134" t="s">
        <v>855</v>
      </c>
      <c r="E725" s="30" t="s">
        <v>334</v>
      </c>
      <c r="H725" s="35" t="s">
        <v>386</v>
      </c>
      <c r="I725" s="30" t="s">
        <v>333</v>
      </c>
      <c r="J725" s="30">
        <v>1</v>
      </c>
      <c r="K725" s="30" t="s">
        <v>35</v>
      </c>
      <c r="L725" s="30" t="s">
        <v>336</v>
      </c>
      <c r="M725" s="30" t="s">
        <v>325</v>
      </c>
      <c r="T725"/>
    </row>
    <row r="726" spans="4:20" ht="15" customHeight="1">
      <c r="D726" s="134" t="s">
        <v>855</v>
      </c>
      <c r="E726" s="30" t="s">
        <v>338</v>
      </c>
      <c r="F726" s="35" t="s">
        <v>339</v>
      </c>
      <c r="I726" s="30" t="s">
        <v>333</v>
      </c>
      <c r="J726" s="30">
        <v>1</v>
      </c>
      <c r="K726" s="30" t="s">
        <v>35</v>
      </c>
      <c r="L726" s="30" t="s">
        <v>107</v>
      </c>
      <c r="M726" s="30" t="s">
        <v>325</v>
      </c>
      <c r="T726"/>
    </row>
    <row r="727" spans="4:20" ht="15" customHeight="1">
      <c r="D727" s="134" t="s">
        <v>855</v>
      </c>
      <c r="E727" s="30" t="s">
        <v>322</v>
      </c>
      <c r="G727" s="35" t="s">
        <v>371</v>
      </c>
      <c r="H727" s="35" t="s">
        <v>363</v>
      </c>
      <c r="I727" s="30" t="s">
        <v>48</v>
      </c>
      <c r="J727" s="30">
        <v>2</v>
      </c>
      <c r="K727" s="30" t="s">
        <v>35</v>
      </c>
      <c r="L727" s="30" t="s">
        <v>324</v>
      </c>
      <c r="M727" s="30" t="s">
        <v>325</v>
      </c>
      <c r="T727"/>
    </row>
    <row r="728" spans="4:20" ht="15" customHeight="1">
      <c r="D728" s="134" t="s">
        <v>855</v>
      </c>
      <c r="E728" s="30" t="s">
        <v>45</v>
      </c>
      <c r="G728" s="35" t="s">
        <v>364</v>
      </c>
      <c r="H728" s="35" t="s">
        <v>365</v>
      </c>
      <c r="I728" s="30" t="s">
        <v>48</v>
      </c>
      <c r="J728" s="30">
        <v>2</v>
      </c>
      <c r="K728" s="30" t="s">
        <v>35</v>
      </c>
      <c r="L728" s="30" t="s">
        <v>358</v>
      </c>
      <c r="M728" s="30" t="s">
        <v>325</v>
      </c>
      <c r="T728"/>
    </row>
    <row r="729" spans="4:20" ht="15" customHeight="1">
      <c r="D729" s="134" t="s">
        <v>855</v>
      </c>
      <c r="E729" s="30" t="s">
        <v>347</v>
      </c>
      <c r="G729" s="35" t="s">
        <v>434</v>
      </c>
      <c r="I729" s="30" t="s">
        <v>329</v>
      </c>
      <c r="J729" s="30">
        <v>2</v>
      </c>
      <c r="K729" s="30" t="s">
        <v>35</v>
      </c>
      <c r="L729" s="30" t="s">
        <v>330</v>
      </c>
      <c r="M729" s="30" t="s">
        <v>325</v>
      </c>
      <c r="T729"/>
    </row>
    <row r="730" spans="4:20" ht="15" customHeight="1">
      <c r="D730" s="134" t="s">
        <v>855</v>
      </c>
      <c r="E730" s="30" t="s">
        <v>331</v>
      </c>
      <c r="F730" s="35" t="s">
        <v>345</v>
      </c>
      <c r="I730" s="30" t="s">
        <v>333</v>
      </c>
      <c r="J730" s="30">
        <v>1</v>
      </c>
      <c r="K730" s="30" t="s">
        <v>35</v>
      </c>
      <c r="L730" s="30" t="s">
        <v>107</v>
      </c>
      <c r="M730" s="30" t="s">
        <v>325</v>
      </c>
      <c r="T730"/>
    </row>
    <row r="731" spans="4:20" ht="15" customHeight="1">
      <c r="D731" s="134" t="s">
        <v>855</v>
      </c>
      <c r="E731" s="30" t="s">
        <v>326</v>
      </c>
      <c r="G731" s="35" t="s">
        <v>427</v>
      </c>
      <c r="H731" s="35" t="s">
        <v>367</v>
      </c>
      <c r="I731" s="30" t="s">
        <v>329</v>
      </c>
      <c r="J731" s="30">
        <v>2</v>
      </c>
      <c r="K731" s="30" t="s">
        <v>35</v>
      </c>
      <c r="L731" s="30" t="s">
        <v>330</v>
      </c>
      <c r="M731" s="30" t="s">
        <v>325</v>
      </c>
      <c r="T731"/>
    </row>
    <row r="732" spans="4:20" ht="15" customHeight="1">
      <c r="D732" s="134" t="s">
        <v>855</v>
      </c>
      <c r="E732" s="30" t="s">
        <v>349</v>
      </c>
      <c r="F732" s="35" t="s">
        <v>500</v>
      </c>
      <c r="I732" s="30" t="s">
        <v>351</v>
      </c>
      <c r="J732" s="30" t="s">
        <v>352</v>
      </c>
      <c r="K732" s="30" t="s">
        <v>35</v>
      </c>
      <c r="L732" s="30" t="s">
        <v>324</v>
      </c>
      <c r="M732" s="30" t="s">
        <v>325</v>
      </c>
      <c r="T732"/>
    </row>
    <row r="733" spans="4:20" ht="15" customHeight="1">
      <c r="D733" s="134" t="s">
        <v>856</v>
      </c>
      <c r="E733" s="30" t="s">
        <v>46</v>
      </c>
      <c r="F733" s="35" t="s">
        <v>335</v>
      </c>
      <c r="I733" s="30" t="s">
        <v>333</v>
      </c>
      <c r="J733" s="30">
        <v>1</v>
      </c>
      <c r="K733" s="30" t="s">
        <v>35</v>
      </c>
      <c r="L733" s="30" t="s">
        <v>336</v>
      </c>
      <c r="M733" s="30" t="s">
        <v>325</v>
      </c>
      <c r="T733"/>
    </row>
    <row r="734" spans="4:20" ht="15" customHeight="1">
      <c r="D734" s="134" t="s">
        <v>856</v>
      </c>
      <c r="E734" s="30" t="s">
        <v>337</v>
      </c>
      <c r="F734" s="35" t="s">
        <v>387</v>
      </c>
      <c r="I734" s="30" t="s">
        <v>333</v>
      </c>
      <c r="J734" s="30">
        <v>1</v>
      </c>
      <c r="K734" s="30" t="s">
        <v>35</v>
      </c>
      <c r="L734" s="30" t="s">
        <v>336</v>
      </c>
      <c r="M734" s="30" t="s">
        <v>325</v>
      </c>
      <c r="T734"/>
    </row>
    <row r="735" spans="4:20" ht="15" customHeight="1">
      <c r="D735" s="134" t="s">
        <v>856</v>
      </c>
      <c r="E735" s="30" t="s">
        <v>334</v>
      </c>
      <c r="H735" s="35" t="s">
        <v>386</v>
      </c>
      <c r="I735" s="30" t="s">
        <v>333</v>
      </c>
      <c r="J735" s="30">
        <v>1</v>
      </c>
      <c r="K735" s="30" t="s">
        <v>35</v>
      </c>
      <c r="L735" s="30" t="s">
        <v>336</v>
      </c>
      <c r="M735" s="30" t="s">
        <v>325</v>
      </c>
      <c r="T735"/>
    </row>
    <row r="736" spans="4:20" ht="15" customHeight="1">
      <c r="D736" s="134" t="s">
        <v>856</v>
      </c>
      <c r="E736" s="30" t="s">
        <v>338</v>
      </c>
      <c r="F736" s="35" t="s">
        <v>339</v>
      </c>
      <c r="I736" s="30" t="s">
        <v>333</v>
      </c>
      <c r="J736" s="30">
        <v>1</v>
      </c>
      <c r="K736" s="30" t="s">
        <v>35</v>
      </c>
      <c r="L736" s="30" t="s">
        <v>107</v>
      </c>
      <c r="M736" s="30" t="s">
        <v>325</v>
      </c>
      <c r="T736"/>
    </row>
    <row r="737" spans="4:20" ht="15" customHeight="1">
      <c r="D737" s="134" t="s">
        <v>856</v>
      </c>
      <c r="E737" s="30" t="s">
        <v>322</v>
      </c>
      <c r="G737" s="35" t="s">
        <v>501</v>
      </c>
      <c r="H737" s="35" t="s">
        <v>390</v>
      </c>
      <c r="I737" s="30" t="s">
        <v>48</v>
      </c>
      <c r="J737" s="30">
        <v>2</v>
      </c>
      <c r="K737" s="30" t="s">
        <v>35</v>
      </c>
      <c r="L737" s="30" t="s">
        <v>324</v>
      </c>
      <c r="M737" s="30" t="s">
        <v>325</v>
      </c>
      <c r="T737"/>
    </row>
    <row r="738" spans="4:20" ht="15" customHeight="1">
      <c r="D738" s="134" t="s">
        <v>856</v>
      </c>
      <c r="E738" s="30" t="s">
        <v>45</v>
      </c>
      <c r="G738" s="35" t="s">
        <v>504</v>
      </c>
      <c r="H738" s="35" t="s">
        <v>473</v>
      </c>
      <c r="I738" s="30" t="s">
        <v>48</v>
      </c>
      <c r="J738" s="30">
        <v>2</v>
      </c>
      <c r="K738" s="30" t="s">
        <v>35</v>
      </c>
      <c r="L738" s="30" t="s">
        <v>358</v>
      </c>
      <c r="M738" s="30" t="s">
        <v>325</v>
      </c>
      <c r="T738"/>
    </row>
    <row r="739" spans="4:20" ht="15" customHeight="1">
      <c r="D739" s="134" t="s">
        <v>856</v>
      </c>
      <c r="E739" s="30" t="s">
        <v>347</v>
      </c>
      <c r="G739" s="35" t="s">
        <v>434</v>
      </c>
      <c r="I739" s="30" t="s">
        <v>329</v>
      </c>
      <c r="J739" s="30">
        <v>2</v>
      </c>
      <c r="K739" s="30" t="s">
        <v>35</v>
      </c>
      <c r="L739" s="30" t="s">
        <v>330</v>
      </c>
      <c r="M739" s="30" t="s">
        <v>325</v>
      </c>
      <c r="T739"/>
    </row>
    <row r="740" spans="4:20" ht="15" customHeight="1">
      <c r="D740" s="134" t="s">
        <v>856</v>
      </c>
      <c r="E740" s="30" t="s">
        <v>331</v>
      </c>
      <c r="F740" s="35" t="s">
        <v>345</v>
      </c>
      <c r="I740" s="30" t="s">
        <v>333</v>
      </c>
      <c r="J740" s="30">
        <v>1</v>
      </c>
      <c r="K740" s="30" t="s">
        <v>35</v>
      </c>
      <c r="L740" s="30" t="s">
        <v>107</v>
      </c>
      <c r="M740" s="30" t="s">
        <v>325</v>
      </c>
      <c r="T740"/>
    </row>
    <row r="741" spans="4:20" ht="15" customHeight="1">
      <c r="D741" s="134" t="s">
        <v>856</v>
      </c>
      <c r="E741" s="30" t="s">
        <v>326</v>
      </c>
      <c r="G741" s="35" t="s">
        <v>502</v>
      </c>
      <c r="H741" s="35" t="s">
        <v>374</v>
      </c>
      <c r="I741" s="30" t="s">
        <v>329</v>
      </c>
      <c r="J741" s="30">
        <v>2</v>
      </c>
      <c r="K741" s="30" t="s">
        <v>35</v>
      </c>
      <c r="L741" s="30" t="s">
        <v>330</v>
      </c>
      <c r="M741" s="30" t="s">
        <v>325</v>
      </c>
      <c r="T741"/>
    </row>
    <row r="742" spans="4:20" ht="15" customHeight="1">
      <c r="D742" s="134" t="s">
        <v>856</v>
      </c>
      <c r="E742" s="30" t="s">
        <v>349</v>
      </c>
      <c r="F742" s="35" t="s">
        <v>503</v>
      </c>
      <c r="I742" s="30" t="s">
        <v>351</v>
      </c>
      <c r="J742" s="30" t="s">
        <v>352</v>
      </c>
      <c r="K742" s="30" t="s">
        <v>35</v>
      </c>
      <c r="L742" s="30" t="s">
        <v>324</v>
      </c>
      <c r="M742" s="30" t="s">
        <v>325</v>
      </c>
      <c r="T742"/>
    </row>
    <row r="743" spans="4:20" ht="15" customHeight="1">
      <c r="D743" s="30" t="s">
        <v>872</v>
      </c>
      <c r="E743" s="30" t="s">
        <v>46</v>
      </c>
      <c r="F743" s="35" t="s">
        <v>335</v>
      </c>
      <c r="I743" s="30" t="s">
        <v>333</v>
      </c>
      <c r="J743" s="30">
        <v>1</v>
      </c>
      <c r="K743" s="30" t="s">
        <v>35</v>
      </c>
      <c r="L743" s="30" t="s">
        <v>336</v>
      </c>
      <c r="M743" s="30" t="s">
        <v>325</v>
      </c>
      <c r="T743"/>
    </row>
    <row r="744" spans="4:20" ht="15" customHeight="1">
      <c r="D744" s="30" t="s">
        <v>872</v>
      </c>
      <c r="E744" s="30" t="s">
        <v>337</v>
      </c>
      <c r="F744" s="35" t="s">
        <v>387</v>
      </c>
      <c r="I744" s="30" t="s">
        <v>333</v>
      </c>
      <c r="J744" s="30">
        <v>1</v>
      </c>
      <c r="K744" s="30" t="s">
        <v>35</v>
      </c>
      <c r="L744" s="30" t="s">
        <v>336</v>
      </c>
      <c r="M744" s="30" t="s">
        <v>325</v>
      </c>
      <c r="T744"/>
    </row>
    <row r="745" spans="4:20" ht="15" customHeight="1">
      <c r="D745" s="30" t="s">
        <v>872</v>
      </c>
      <c r="E745" s="30" t="s">
        <v>334</v>
      </c>
      <c r="H745" s="35" t="s">
        <v>386</v>
      </c>
      <c r="I745" s="30" t="s">
        <v>333</v>
      </c>
      <c r="J745" s="30">
        <v>1</v>
      </c>
      <c r="K745" s="30" t="s">
        <v>35</v>
      </c>
      <c r="L745" s="30" t="s">
        <v>336</v>
      </c>
      <c r="M745" s="30" t="s">
        <v>325</v>
      </c>
      <c r="T745"/>
    </row>
    <row r="746" spans="4:20" ht="15" customHeight="1">
      <c r="D746" s="30" t="s">
        <v>872</v>
      </c>
      <c r="E746" s="30" t="s">
        <v>338</v>
      </c>
      <c r="F746" s="35" t="s">
        <v>339</v>
      </c>
      <c r="I746" s="30" t="s">
        <v>333</v>
      </c>
      <c r="J746" s="30">
        <v>1</v>
      </c>
      <c r="K746" s="30" t="s">
        <v>35</v>
      </c>
      <c r="L746" s="30" t="s">
        <v>107</v>
      </c>
      <c r="M746" s="30" t="s">
        <v>325</v>
      </c>
      <c r="T746"/>
    </row>
    <row r="747" spans="4:20" ht="15" customHeight="1">
      <c r="D747" s="30" t="s">
        <v>872</v>
      </c>
      <c r="E747" s="30" t="s">
        <v>322</v>
      </c>
      <c r="G747" s="35" t="s">
        <v>412</v>
      </c>
      <c r="H747" s="35" t="s">
        <v>341</v>
      </c>
      <c r="I747" s="30" t="s">
        <v>48</v>
      </c>
      <c r="J747" s="30">
        <v>2</v>
      </c>
      <c r="K747" s="30" t="s">
        <v>35</v>
      </c>
      <c r="L747" s="30" t="s">
        <v>324</v>
      </c>
      <c r="M747" s="30" t="s">
        <v>325</v>
      </c>
      <c r="T747"/>
    </row>
    <row r="748" spans="4:20" ht="15" customHeight="1">
      <c r="D748" s="30" t="s">
        <v>872</v>
      </c>
      <c r="E748" s="30" t="s">
        <v>45</v>
      </c>
      <c r="G748" s="35" t="s">
        <v>505</v>
      </c>
      <c r="H748" s="35" t="s">
        <v>356</v>
      </c>
      <c r="I748" s="30" t="s">
        <v>48</v>
      </c>
      <c r="J748" s="30">
        <v>2</v>
      </c>
      <c r="K748" s="30" t="s">
        <v>35</v>
      </c>
      <c r="L748" s="30" t="s">
        <v>358</v>
      </c>
      <c r="M748" s="30" t="s">
        <v>325</v>
      </c>
      <c r="T748"/>
    </row>
    <row r="749" spans="4:20" ht="15" customHeight="1">
      <c r="D749" s="30" t="s">
        <v>872</v>
      </c>
      <c r="E749" s="30" t="s">
        <v>331</v>
      </c>
      <c r="F749" s="35" t="s">
        <v>345</v>
      </c>
      <c r="I749" s="30" t="s">
        <v>333</v>
      </c>
      <c r="J749" s="30">
        <v>1</v>
      </c>
      <c r="K749" s="30" t="s">
        <v>35</v>
      </c>
      <c r="L749" s="30" t="s">
        <v>107</v>
      </c>
      <c r="M749" s="30" t="s">
        <v>325</v>
      </c>
      <c r="T749"/>
    </row>
    <row r="750" spans="4:20" ht="15" customHeight="1">
      <c r="D750" s="30" t="s">
        <v>872</v>
      </c>
      <c r="E750" s="30" t="s">
        <v>326</v>
      </c>
      <c r="G750" s="35" t="s">
        <v>385</v>
      </c>
      <c r="H750" s="35" t="s">
        <v>408</v>
      </c>
      <c r="I750" s="30" t="s">
        <v>329</v>
      </c>
      <c r="J750" s="30">
        <v>2</v>
      </c>
      <c r="K750" s="30" t="s">
        <v>35</v>
      </c>
      <c r="L750" s="30" t="s">
        <v>330</v>
      </c>
      <c r="M750" s="30" t="s">
        <v>325</v>
      </c>
      <c r="T750"/>
    </row>
    <row r="751" spans="4:20" ht="15" customHeight="1">
      <c r="D751" s="30" t="s">
        <v>873</v>
      </c>
      <c r="E751" s="30" t="s">
        <v>46</v>
      </c>
      <c r="F751" s="35" t="s">
        <v>335</v>
      </c>
      <c r="I751" s="30" t="s">
        <v>333</v>
      </c>
      <c r="J751" s="30">
        <v>1</v>
      </c>
      <c r="K751" s="30" t="s">
        <v>35</v>
      </c>
      <c r="L751" s="30" t="s">
        <v>336</v>
      </c>
      <c r="M751" s="30" t="s">
        <v>325</v>
      </c>
      <c r="T751"/>
    </row>
    <row r="752" spans="4:20" ht="15" customHeight="1">
      <c r="D752" s="30" t="s">
        <v>873</v>
      </c>
      <c r="E752" s="30" t="s">
        <v>337</v>
      </c>
      <c r="F752" s="35" t="s">
        <v>368</v>
      </c>
      <c r="I752" s="30" t="s">
        <v>333</v>
      </c>
      <c r="J752" s="30">
        <v>1</v>
      </c>
      <c r="K752" s="30" t="s">
        <v>35</v>
      </c>
      <c r="L752" s="30" t="s">
        <v>336</v>
      </c>
      <c r="M752" s="30" t="s">
        <v>325</v>
      </c>
      <c r="T752"/>
    </row>
    <row r="753" spans="4:20" ht="15" customHeight="1">
      <c r="D753" s="30" t="s">
        <v>873</v>
      </c>
      <c r="E753" s="30" t="s">
        <v>334</v>
      </c>
      <c r="H753" s="35" t="s">
        <v>386</v>
      </c>
      <c r="I753" s="30" t="s">
        <v>333</v>
      </c>
      <c r="J753" s="30">
        <v>1</v>
      </c>
      <c r="K753" s="30" t="s">
        <v>35</v>
      </c>
      <c r="L753" s="30" t="s">
        <v>336</v>
      </c>
      <c r="M753" s="30" t="s">
        <v>325</v>
      </c>
      <c r="T753"/>
    </row>
    <row r="754" spans="4:20" ht="15" customHeight="1">
      <c r="D754" s="30" t="s">
        <v>873</v>
      </c>
      <c r="E754" s="30" t="s">
        <v>338</v>
      </c>
      <c r="F754" s="35" t="s">
        <v>339</v>
      </c>
      <c r="I754" s="30" t="s">
        <v>333</v>
      </c>
      <c r="J754" s="30">
        <v>1</v>
      </c>
      <c r="K754" s="30" t="s">
        <v>35</v>
      </c>
      <c r="L754" s="30" t="s">
        <v>107</v>
      </c>
      <c r="M754" s="30" t="s">
        <v>325</v>
      </c>
      <c r="T754"/>
    </row>
    <row r="755" spans="4:20" ht="15" customHeight="1">
      <c r="D755" s="30" t="s">
        <v>873</v>
      </c>
      <c r="E755" s="30" t="s">
        <v>322</v>
      </c>
      <c r="G755" s="35" t="s">
        <v>390</v>
      </c>
      <c r="H755" s="35" t="s">
        <v>400</v>
      </c>
      <c r="I755" s="30" t="s">
        <v>48</v>
      </c>
      <c r="J755" s="30">
        <v>2</v>
      </c>
      <c r="K755" s="30" t="s">
        <v>35</v>
      </c>
      <c r="L755" s="30" t="s">
        <v>324</v>
      </c>
      <c r="M755" s="30" t="s">
        <v>325</v>
      </c>
      <c r="T755"/>
    </row>
    <row r="756" spans="4:20" ht="15" customHeight="1">
      <c r="D756" s="30" t="s">
        <v>873</v>
      </c>
      <c r="E756" s="30" t="s">
        <v>45</v>
      </c>
      <c r="G756" s="35" t="s">
        <v>378</v>
      </c>
      <c r="H756" s="35" t="s">
        <v>379</v>
      </c>
      <c r="I756" s="30" t="s">
        <v>48</v>
      </c>
      <c r="J756" s="30">
        <v>2</v>
      </c>
      <c r="K756" s="30" t="s">
        <v>35</v>
      </c>
      <c r="L756" s="30" t="s">
        <v>358</v>
      </c>
      <c r="M756" s="30" t="s">
        <v>325</v>
      </c>
      <c r="T756"/>
    </row>
    <row r="757" spans="4:20" ht="15" customHeight="1">
      <c r="D757" s="30" t="s">
        <v>873</v>
      </c>
      <c r="E757" s="30" t="s">
        <v>347</v>
      </c>
      <c r="G757" s="35" t="s">
        <v>401</v>
      </c>
      <c r="I757" s="30" t="s">
        <v>329</v>
      </c>
      <c r="J757" s="30">
        <v>2</v>
      </c>
      <c r="K757" s="30" t="s">
        <v>35</v>
      </c>
      <c r="L757" s="30" t="s">
        <v>330</v>
      </c>
      <c r="M757" s="30" t="s">
        <v>325</v>
      </c>
      <c r="T757"/>
    </row>
    <row r="758" spans="4:20" ht="15" customHeight="1">
      <c r="D758" s="30" t="s">
        <v>873</v>
      </c>
      <c r="E758" s="30" t="s">
        <v>331</v>
      </c>
      <c r="F758" s="35" t="s">
        <v>345</v>
      </c>
      <c r="I758" s="30" t="s">
        <v>333</v>
      </c>
      <c r="J758" s="30">
        <v>1</v>
      </c>
      <c r="K758" s="30" t="s">
        <v>35</v>
      </c>
      <c r="L758" s="30" t="s">
        <v>107</v>
      </c>
      <c r="M758" s="30" t="s">
        <v>325</v>
      </c>
      <c r="T758"/>
    </row>
    <row r="759" spans="4:20" ht="15" customHeight="1">
      <c r="D759" s="30" t="s">
        <v>873</v>
      </c>
      <c r="E759" s="30" t="s">
        <v>353</v>
      </c>
      <c r="F759" s="35" t="s">
        <v>354</v>
      </c>
      <c r="I759" s="30" t="s">
        <v>355</v>
      </c>
      <c r="J759" s="30" t="s">
        <v>352</v>
      </c>
      <c r="K759" s="30" t="s">
        <v>35</v>
      </c>
      <c r="L759" s="30" t="s">
        <v>107</v>
      </c>
      <c r="M759" s="30" t="s">
        <v>325</v>
      </c>
      <c r="T759"/>
    </row>
    <row r="760" spans="4:20" ht="15" customHeight="1">
      <c r="D760" s="30" t="s">
        <v>873</v>
      </c>
      <c r="E760" s="30" t="s">
        <v>326</v>
      </c>
      <c r="G760" s="35" t="s">
        <v>391</v>
      </c>
      <c r="H760" s="35" t="s">
        <v>380</v>
      </c>
      <c r="I760" s="30" t="s">
        <v>329</v>
      </c>
      <c r="J760" s="30">
        <v>2</v>
      </c>
      <c r="K760" s="30" t="s">
        <v>35</v>
      </c>
      <c r="L760" s="30" t="s">
        <v>330</v>
      </c>
      <c r="M760" s="30" t="s">
        <v>325</v>
      </c>
      <c r="T760"/>
    </row>
    <row r="761" spans="4:20" ht="15" customHeight="1">
      <c r="D761" s="30" t="s">
        <v>873</v>
      </c>
      <c r="E761" s="30" t="s">
        <v>349</v>
      </c>
      <c r="F761" s="35" t="s">
        <v>402</v>
      </c>
      <c r="I761" s="30" t="s">
        <v>351</v>
      </c>
      <c r="J761" s="30" t="s">
        <v>352</v>
      </c>
      <c r="K761" s="30" t="s">
        <v>35</v>
      </c>
      <c r="L761" s="30" t="s">
        <v>324</v>
      </c>
      <c r="M761" s="30" t="s">
        <v>325</v>
      </c>
      <c r="T761"/>
    </row>
    <row r="762" spans="4:20" ht="15" customHeight="1">
      <c r="D762" s="30" t="s">
        <v>874</v>
      </c>
      <c r="E762" s="30" t="s">
        <v>46</v>
      </c>
      <c r="F762" s="35" t="s">
        <v>335</v>
      </c>
      <c r="I762" s="30" t="s">
        <v>333</v>
      </c>
      <c r="J762" s="30">
        <v>1</v>
      </c>
      <c r="K762" s="30" t="s">
        <v>35</v>
      </c>
      <c r="L762" s="30" t="s">
        <v>336</v>
      </c>
      <c r="M762" s="30" t="s">
        <v>325</v>
      </c>
      <c r="T762"/>
    </row>
    <row r="763" spans="4:20" ht="15" customHeight="1">
      <c r="D763" s="30" t="s">
        <v>874</v>
      </c>
      <c r="E763" s="30" t="s">
        <v>337</v>
      </c>
      <c r="F763" s="35" t="s">
        <v>381</v>
      </c>
      <c r="I763" s="30" t="s">
        <v>333</v>
      </c>
      <c r="J763" s="30">
        <v>1</v>
      </c>
      <c r="K763" s="30" t="s">
        <v>35</v>
      </c>
      <c r="L763" s="30" t="s">
        <v>336</v>
      </c>
      <c r="M763" s="30" t="s">
        <v>325</v>
      </c>
      <c r="T763"/>
    </row>
    <row r="764" spans="4:20" ht="15" customHeight="1">
      <c r="D764" s="30" t="s">
        <v>874</v>
      </c>
      <c r="E764" s="30" t="s">
        <v>334</v>
      </c>
      <c r="F764" s="35" t="s">
        <v>335</v>
      </c>
      <c r="I764" s="30" t="s">
        <v>333</v>
      </c>
      <c r="J764" s="30">
        <v>1</v>
      </c>
      <c r="K764" s="30" t="s">
        <v>35</v>
      </c>
      <c r="L764" s="30" t="s">
        <v>336</v>
      </c>
      <c r="M764" s="30" t="s">
        <v>325</v>
      </c>
      <c r="T764"/>
    </row>
    <row r="765" spans="4:20" ht="15" customHeight="1">
      <c r="D765" s="30" t="s">
        <v>874</v>
      </c>
      <c r="E765" s="30" t="s">
        <v>338</v>
      </c>
      <c r="F765" s="35" t="s">
        <v>339</v>
      </c>
      <c r="I765" s="30" t="s">
        <v>333</v>
      </c>
      <c r="J765" s="30">
        <v>1</v>
      </c>
      <c r="K765" s="30" t="s">
        <v>35</v>
      </c>
      <c r="L765" s="30" t="s">
        <v>107</v>
      </c>
      <c r="M765" s="30" t="s">
        <v>325</v>
      </c>
      <c r="T765"/>
    </row>
    <row r="766" spans="4:20" ht="15" customHeight="1">
      <c r="D766" s="30" t="s">
        <v>874</v>
      </c>
      <c r="E766" s="30" t="s">
        <v>322</v>
      </c>
      <c r="G766" s="35" t="s">
        <v>377</v>
      </c>
      <c r="H766" s="35" t="s">
        <v>342</v>
      </c>
      <c r="I766" s="30" t="s">
        <v>48</v>
      </c>
      <c r="J766" s="30">
        <v>2</v>
      </c>
      <c r="K766" s="30" t="s">
        <v>35</v>
      </c>
      <c r="L766" s="30" t="s">
        <v>324</v>
      </c>
      <c r="M766" s="30" t="s">
        <v>325</v>
      </c>
      <c r="T766"/>
    </row>
    <row r="767" spans="4:20" ht="15" customHeight="1">
      <c r="D767" s="30" t="s">
        <v>874</v>
      </c>
      <c r="E767" s="30" t="s">
        <v>45</v>
      </c>
      <c r="G767" s="35" t="s">
        <v>403</v>
      </c>
      <c r="H767" s="35" t="s">
        <v>398</v>
      </c>
      <c r="I767" s="30" t="s">
        <v>48</v>
      </c>
      <c r="J767" s="30">
        <v>2</v>
      </c>
      <c r="K767" s="30" t="s">
        <v>35</v>
      </c>
      <c r="L767" s="30" t="s">
        <v>358</v>
      </c>
      <c r="M767" s="30" t="s">
        <v>325</v>
      </c>
      <c r="T767"/>
    </row>
    <row r="768" spans="4:20" ht="15" customHeight="1">
      <c r="D768" s="30" t="s">
        <v>874</v>
      </c>
      <c r="E768" s="30" t="s">
        <v>331</v>
      </c>
      <c r="F768" s="35" t="s">
        <v>345</v>
      </c>
      <c r="I768" s="30" t="s">
        <v>333</v>
      </c>
      <c r="J768" s="30">
        <v>1</v>
      </c>
      <c r="K768" s="30" t="s">
        <v>35</v>
      </c>
      <c r="L768" s="30" t="s">
        <v>107</v>
      </c>
      <c r="M768" s="30" t="s">
        <v>325</v>
      </c>
      <c r="T768"/>
    </row>
    <row r="769" spans="4:20" ht="15" customHeight="1">
      <c r="D769" s="30" t="s">
        <v>874</v>
      </c>
      <c r="E769" s="30" t="s">
        <v>353</v>
      </c>
      <c r="F769" s="35" t="s">
        <v>354</v>
      </c>
      <c r="I769" s="30" t="s">
        <v>355</v>
      </c>
      <c r="J769" s="30" t="s">
        <v>352</v>
      </c>
      <c r="K769" s="30" t="s">
        <v>35</v>
      </c>
      <c r="L769" s="30" t="s">
        <v>107</v>
      </c>
      <c r="M769" s="30" t="s">
        <v>325</v>
      </c>
      <c r="T769"/>
    </row>
    <row r="770" spans="4:20" ht="15" customHeight="1">
      <c r="D770" s="30" t="s">
        <v>874</v>
      </c>
      <c r="E770" s="30" t="s">
        <v>326</v>
      </c>
      <c r="G770" s="35" t="s">
        <v>380</v>
      </c>
      <c r="H770" s="35" t="s">
        <v>344</v>
      </c>
      <c r="I770" s="30" t="s">
        <v>329</v>
      </c>
      <c r="J770" s="30">
        <v>2</v>
      </c>
      <c r="K770" s="30" t="s">
        <v>35</v>
      </c>
      <c r="L770" s="30" t="s">
        <v>330</v>
      </c>
      <c r="M770" s="30" t="s">
        <v>325</v>
      </c>
      <c r="T770"/>
    </row>
    <row r="771" spans="4:20" ht="15" customHeight="1">
      <c r="D771" s="30" t="s">
        <v>874</v>
      </c>
      <c r="E771" s="30" t="s">
        <v>349</v>
      </c>
      <c r="F771" s="35" t="s">
        <v>396</v>
      </c>
      <c r="I771" s="30" t="s">
        <v>351</v>
      </c>
      <c r="J771" s="30" t="s">
        <v>352</v>
      </c>
      <c r="K771" s="30" t="s">
        <v>35</v>
      </c>
      <c r="L771" s="30" t="s">
        <v>324</v>
      </c>
      <c r="M771" s="30" t="s">
        <v>325</v>
      </c>
      <c r="T771"/>
    </row>
    <row r="772" spans="4:20" ht="15" customHeight="1">
      <c r="D772" s="30" t="s">
        <v>875</v>
      </c>
      <c r="E772" s="30" t="s">
        <v>46</v>
      </c>
      <c r="F772" s="35" t="s">
        <v>335</v>
      </c>
      <c r="I772" s="30" t="s">
        <v>333</v>
      </c>
      <c r="J772" s="30">
        <v>1</v>
      </c>
      <c r="K772" s="30" t="s">
        <v>35</v>
      </c>
      <c r="L772" s="30" t="s">
        <v>336</v>
      </c>
      <c r="M772" s="30" t="s">
        <v>325</v>
      </c>
      <c r="T772"/>
    </row>
    <row r="773" spans="4:20" ht="15" customHeight="1">
      <c r="D773" s="30" t="s">
        <v>875</v>
      </c>
      <c r="E773" s="30" t="s">
        <v>337</v>
      </c>
      <c r="F773" s="35" t="s">
        <v>368</v>
      </c>
      <c r="I773" s="30" t="s">
        <v>333</v>
      </c>
      <c r="J773" s="30">
        <v>1</v>
      </c>
      <c r="K773" s="30" t="s">
        <v>35</v>
      </c>
      <c r="L773" s="30" t="s">
        <v>336</v>
      </c>
      <c r="M773" s="30" t="s">
        <v>325</v>
      </c>
      <c r="T773"/>
    </row>
    <row r="774" spans="4:20" ht="15" customHeight="1">
      <c r="D774" s="30" t="s">
        <v>875</v>
      </c>
      <c r="E774" s="30" t="s">
        <v>334</v>
      </c>
      <c r="F774" s="35" t="s">
        <v>335</v>
      </c>
      <c r="I774" s="30" t="s">
        <v>333</v>
      </c>
      <c r="J774" s="30">
        <v>1</v>
      </c>
      <c r="K774" s="30" t="s">
        <v>35</v>
      </c>
      <c r="L774" s="30" t="s">
        <v>336</v>
      </c>
      <c r="M774" s="30" t="s">
        <v>325</v>
      </c>
      <c r="T774"/>
    </row>
    <row r="775" spans="4:20" ht="15" customHeight="1">
      <c r="D775" s="30" t="s">
        <v>875</v>
      </c>
      <c r="E775" s="30" t="s">
        <v>338</v>
      </c>
      <c r="F775" s="35" t="s">
        <v>339</v>
      </c>
      <c r="I775" s="30" t="s">
        <v>333</v>
      </c>
      <c r="J775" s="30">
        <v>1</v>
      </c>
      <c r="K775" s="30" t="s">
        <v>35</v>
      </c>
      <c r="L775" s="30" t="s">
        <v>107</v>
      </c>
      <c r="M775" s="30" t="s">
        <v>325</v>
      </c>
      <c r="T775"/>
    </row>
    <row r="776" spans="4:20" ht="15" customHeight="1">
      <c r="D776" s="30" t="s">
        <v>875</v>
      </c>
      <c r="E776" s="30" t="s">
        <v>322</v>
      </c>
      <c r="G776" s="35" t="s">
        <v>371</v>
      </c>
      <c r="H776" s="35" t="s">
        <v>363</v>
      </c>
      <c r="I776" s="30" t="s">
        <v>48</v>
      </c>
      <c r="J776" s="30">
        <v>2</v>
      </c>
      <c r="K776" s="30" t="s">
        <v>35</v>
      </c>
      <c r="L776" s="30" t="s">
        <v>324</v>
      </c>
      <c r="M776" s="30" t="s">
        <v>325</v>
      </c>
      <c r="T776"/>
    </row>
    <row r="777" spans="4:20" ht="15" customHeight="1">
      <c r="D777" s="30" t="s">
        <v>875</v>
      </c>
      <c r="E777" s="30" t="s">
        <v>45</v>
      </c>
      <c r="G777" s="35" t="s">
        <v>364</v>
      </c>
      <c r="H777" s="35" t="s">
        <v>365</v>
      </c>
      <c r="I777" s="30" t="s">
        <v>48</v>
      </c>
      <c r="J777" s="30">
        <v>2</v>
      </c>
      <c r="K777" s="30" t="s">
        <v>35</v>
      </c>
      <c r="L777" s="30" t="s">
        <v>358</v>
      </c>
      <c r="M777" s="30" t="s">
        <v>325</v>
      </c>
      <c r="T777"/>
    </row>
    <row r="778" spans="4:20" ht="15" customHeight="1">
      <c r="D778" s="30" t="s">
        <v>875</v>
      </c>
      <c r="E778" s="30" t="s">
        <v>331</v>
      </c>
      <c r="F778" s="35" t="s">
        <v>345</v>
      </c>
      <c r="I778" s="30" t="s">
        <v>333</v>
      </c>
      <c r="J778" s="30">
        <v>1</v>
      </c>
      <c r="K778" s="30" t="s">
        <v>35</v>
      </c>
      <c r="L778" s="30" t="s">
        <v>107</v>
      </c>
      <c r="M778" s="30" t="s">
        <v>325</v>
      </c>
      <c r="T778"/>
    </row>
    <row r="779" spans="4:20" ht="15" customHeight="1">
      <c r="D779" s="30" t="s">
        <v>875</v>
      </c>
      <c r="E779" s="30" t="s">
        <v>353</v>
      </c>
      <c r="F779" s="35" t="s">
        <v>354</v>
      </c>
      <c r="I779" s="30" t="s">
        <v>355</v>
      </c>
      <c r="J779" s="30" t="s">
        <v>352</v>
      </c>
      <c r="K779" s="30" t="s">
        <v>35</v>
      </c>
      <c r="L779" s="30" t="s">
        <v>107</v>
      </c>
      <c r="M779" s="30" t="s">
        <v>325</v>
      </c>
      <c r="T779"/>
    </row>
    <row r="780" spans="4:20" ht="15" customHeight="1">
      <c r="D780" s="30" t="s">
        <v>875</v>
      </c>
      <c r="E780" s="30" t="s">
        <v>326</v>
      </c>
      <c r="G780" s="35" t="s">
        <v>427</v>
      </c>
      <c r="H780" s="35" t="s">
        <v>367</v>
      </c>
      <c r="I780" s="30" t="s">
        <v>329</v>
      </c>
      <c r="J780" s="30">
        <v>2</v>
      </c>
      <c r="K780" s="30" t="s">
        <v>35</v>
      </c>
      <c r="L780" s="30" t="s">
        <v>330</v>
      </c>
      <c r="M780" s="30" t="s">
        <v>325</v>
      </c>
      <c r="T780"/>
    </row>
    <row r="781" spans="4:20" ht="15" customHeight="1">
      <c r="D781" s="30" t="s">
        <v>875</v>
      </c>
      <c r="E781" s="30" t="s">
        <v>349</v>
      </c>
      <c r="F781" s="35" t="s">
        <v>500</v>
      </c>
      <c r="I781" s="30" t="s">
        <v>351</v>
      </c>
      <c r="J781" s="30" t="s">
        <v>352</v>
      </c>
      <c r="K781" s="30" t="s">
        <v>35</v>
      </c>
      <c r="L781" s="30" t="s">
        <v>324</v>
      </c>
      <c r="M781" s="30" t="s">
        <v>325</v>
      </c>
      <c r="T781"/>
    </row>
    <row r="782" spans="4:20" ht="15" customHeight="1">
      <c r="D782" s="30" t="s">
        <v>876</v>
      </c>
      <c r="E782" s="30" t="s">
        <v>46</v>
      </c>
      <c r="F782" s="35" t="s">
        <v>335</v>
      </c>
      <c r="I782" s="30" t="s">
        <v>333</v>
      </c>
      <c r="J782" s="30">
        <v>1</v>
      </c>
      <c r="K782" s="30" t="s">
        <v>35</v>
      </c>
      <c r="M782" s="30" t="s">
        <v>325</v>
      </c>
      <c r="T782"/>
    </row>
    <row r="783" spans="4:20" ht="15" customHeight="1">
      <c r="D783" s="30" t="s">
        <v>876</v>
      </c>
      <c r="E783" s="30" t="s">
        <v>337</v>
      </c>
      <c r="F783" s="35" t="s">
        <v>381</v>
      </c>
      <c r="I783" s="30" t="s">
        <v>333</v>
      </c>
      <c r="J783" s="30">
        <v>1</v>
      </c>
      <c r="K783" s="30" t="s">
        <v>35</v>
      </c>
      <c r="L783" s="30" t="s">
        <v>336</v>
      </c>
      <c r="M783" s="30" t="s">
        <v>325</v>
      </c>
      <c r="T783"/>
    </row>
    <row r="784" spans="4:20" ht="15" customHeight="1">
      <c r="D784" s="30" t="s">
        <v>876</v>
      </c>
      <c r="E784" s="30" t="s">
        <v>334</v>
      </c>
      <c r="F784" s="35" t="s">
        <v>507</v>
      </c>
      <c r="I784" s="30" t="s">
        <v>333</v>
      </c>
      <c r="J784" s="30">
        <v>1</v>
      </c>
      <c r="K784" s="30" t="s">
        <v>35</v>
      </c>
      <c r="L784" s="30" t="s">
        <v>336</v>
      </c>
      <c r="M784" s="30" t="s">
        <v>325</v>
      </c>
      <c r="T784"/>
    </row>
    <row r="785" spans="4:20" ht="15" customHeight="1">
      <c r="D785" s="30" t="s">
        <v>876</v>
      </c>
      <c r="E785" s="30" t="s">
        <v>338</v>
      </c>
      <c r="F785" s="35" t="s">
        <v>339</v>
      </c>
      <c r="I785" s="30" t="s">
        <v>333</v>
      </c>
      <c r="J785" s="30">
        <v>1</v>
      </c>
      <c r="K785" s="30" t="s">
        <v>35</v>
      </c>
      <c r="L785" s="30" t="s">
        <v>107</v>
      </c>
      <c r="M785" s="30" t="s">
        <v>325</v>
      </c>
      <c r="T785"/>
    </row>
    <row r="786" spans="4:20" ht="15" customHeight="1">
      <c r="D786" s="30" t="s">
        <v>876</v>
      </c>
      <c r="E786" s="30" t="s">
        <v>322</v>
      </c>
      <c r="G786" s="35" t="s">
        <v>390</v>
      </c>
      <c r="H786" s="35" t="s">
        <v>400</v>
      </c>
      <c r="I786" s="30" t="s">
        <v>48</v>
      </c>
      <c r="J786" s="30">
        <v>2</v>
      </c>
      <c r="K786" s="30" t="s">
        <v>35</v>
      </c>
      <c r="L786" s="30" t="s">
        <v>324</v>
      </c>
      <c r="M786" s="30" t="s">
        <v>325</v>
      </c>
      <c r="T786"/>
    </row>
    <row r="787" spans="4:20" ht="15" customHeight="1">
      <c r="D787" s="30" t="s">
        <v>876</v>
      </c>
      <c r="E787" s="30" t="s">
        <v>45</v>
      </c>
      <c r="G787" s="35" t="s">
        <v>378</v>
      </c>
      <c r="H787" s="35" t="s">
        <v>379</v>
      </c>
      <c r="I787" s="30" t="s">
        <v>48</v>
      </c>
      <c r="J787" s="30">
        <v>2</v>
      </c>
      <c r="K787" s="30" t="s">
        <v>35</v>
      </c>
      <c r="L787" s="30" t="s">
        <v>358</v>
      </c>
      <c r="M787" s="30" t="s">
        <v>325</v>
      </c>
      <c r="T787"/>
    </row>
    <row r="788" spans="4:20" ht="15" customHeight="1">
      <c r="D788" s="30" t="s">
        <v>876</v>
      </c>
      <c r="E788" s="30" t="s">
        <v>331</v>
      </c>
      <c r="F788" s="35" t="s">
        <v>345</v>
      </c>
      <c r="I788" s="30" t="s">
        <v>333</v>
      </c>
      <c r="J788" s="30">
        <v>1</v>
      </c>
      <c r="K788" s="30" t="s">
        <v>35</v>
      </c>
      <c r="L788" s="30" t="s">
        <v>107</v>
      </c>
      <c r="M788" s="30" t="s">
        <v>325</v>
      </c>
      <c r="T788"/>
    </row>
    <row r="789" spans="4:20" ht="15" customHeight="1">
      <c r="D789" s="30" t="s">
        <v>876</v>
      </c>
      <c r="E789" s="30" t="s">
        <v>353</v>
      </c>
      <c r="F789" s="35" t="s">
        <v>354</v>
      </c>
      <c r="I789" s="30" t="s">
        <v>355</v>
      </c>
      <c r="J789" s="30" t="s">
        <v>352</v>
      </c>
      <c r="K789" s="30" t="s">
        <v>35</v>
      </c>
      <c r="L789" s="30" t="s">
        <v>107</v>
      </c>
      <c r="M789" s="30" t="s">
        <v>325</v>
      </c>
      <c r="T789"/>
    </row>
    <row r="790" spans="4:20" ht="15" customHeight="1">
      <c r="D790" s="30" t="s">
        <v>876</v>
      </c>
      <c r="E790" s="30" t="s">
        <v>326</v>
      </c>
      <c r="G790" s="35" t="s">
        <v>391</v>
      </c>
      <c r="H790" s="35" t="s">
        <v>408</v>
      </c>
      <c r="I790" s="30" t="s">
        <v>329</v>
      </c>
      <c r="J790" s="30">
        <v>2</v>
      </c>
      <c r="K790" s="30" t="s">
        <v>35</v>
      </c>
      <c r="L790" s="30" t="s">
        <v>330</v>
      </c>
      <c r="M790" s="30" t="s">
        <v>325</v>
      </c>
      <c r="T790"/>
    </row>
    <row r="791" spans="4:20" ht="15" customHeight="1">
      <c r="D791" s="30" t="s">
        <v>876</v>
      </c>
      <c r="E791" s="30" t="s">
        <v>349</v>
      </c>
      <c r="F791" s="35" t="s">
        <v>402</v>
      </c>
      <c r="I791" s="30" t="s">
        <v>351</v>
      </c>
      <c r="J791" s="30" t="s">
        <v>352</v>
      </c>
      <c r="K791" s="30" t="s">
        <v>35</v>
      </c>
      <c r="L791" s="30" t="s">
        <v>324</v>
      </c>
      <c r="M791" s="30" t="s">
        <v>325</v>
      </c>
      <c r="T791"/>
    </row>
    <row r="792" spans="4:20" ht="15" customHeight="1">
      <c r="D792" s="30" t="s">
        <v>877</v>
      </c>
      <c r="E792" s="30" t="s">
        <v>46</v>
      </c>
      <c r="F792" s="35" t="s">
        <v>335</v>
      </c>
      <c r="I792" s="30" t="s">
        <v>333</v>
      </c>
      <c r="J792" s="30">
        <v>1</v>
      </c>
      <c r="K792" s="30" t="s">
        <v>35</v>
      </c>
      <c r="L792" s="30" t="s">
        <v>336</v>
      </c>
      <c r="M792" s="30" t="s">
        <v>325</v>
      </c>
      <c r="T792"/>
    </row>
    <row r="793" spans="4:20" ht="15" customHeight="1">
      <c r="D793" s="30" t="s">
        <v>877</v>
      </c>
      <c r="E793" s="30" t="s">
        <v>337</v>
      </c>
      <c r="F793" s="35" t="s">
        <v>381</v>
      </c>
      <c r="I793" s="30" t="s">
        <v>333</v>
      </c>
      <c r="J793" s="30">
        <v>1</v>
      </c>
      <c r="K793" s="30" t="s">
        <v>35</v>
      </c>
      <c r="L793" s="30" t="s">
        <v>336</v>
      </c>
      <c r="M793" s="30" t="s">
        <v>325</v>
      </c>
      <c r="T793"/>
    </row>
    <row r="794" spans="4:20" ht="15" customHeight="1">
      <c r="D794" s="30" t="s">
        <v>877</v>
      </c>
      <c r="E794" s="30" t="s">
        <v>334</v>
      </c>
      <c r="F794" s="35" t="s">
        <v>507</v>
      </c>
      <c r="I794" s="30" t="s">
        <v>333</v>
      </c>
      <c r="J794" s="30">
        <v>1</v>
      </c>
      <c r="K794" s="30" t="s">
        <v>35</v>
      </c>
      <c r="L794" s="30" t="s">
        <v>336</v>
      </c>
      <c r="M794" s="30" t="s">
        <v>325</v>
      </c>
      <c r="T794"/>
    </row>
    <row r="795" spans="4:20" ht="15" customHeight="1">
      <c r="D795" s="30" t="s">
        <v>877</v>
      </c>
      <c r="E795" s="30" t="s">
        <v>338</v>
      </c>
      <c r="F795" s="35" t="s">
        <v>339</v>
      </c>
      <c r="I795" s="30" t="s">
        <v>333</v>
      </c>
      <c r="J795" s="30">
        <v>1</v>
      </c>
      <c r="K795" s="30" t="s">
        <v>35</v>
      </c>
      <c r="L795" s="30" t="s">
        <v>107</v>
      </c>
      <c r="M795" s="30" t="s">
        <v>325</v>
      </c>
      <c r="T795"/>
    </row>
    <row r="796" spans="4:20" ht="15.75" customHeight="1">
      <c r="D796" s="30" t="s">
        <v>877</v>
      </c>
      <c r="E796" s="30" t="s">
        <v>322</v>
      </c>
      <c r="G796" s="35" t="s">
        <v>400</v>
      </c>
      <c r="H796" s="35" t="s">
        <v>394</v>
      </c>
      <c r="I796" s="30" t="s">
        <v>48</v>
      </c>
      <c r="J796" s="30">
        <v>2</v>
      </c>
      <c r="K796" s="30" t="s">
        <v>35</v>
      </c>
      <c r="L796" s="30" t="s">
        <v>324</v>
      </c>
      <c r="M796" s="30" t="s">
        <v>325</v>
      </c>
      <c r="T796"/>
    </row>
    <row r="797" spans="4:20" ht="15.75" customHeight="1">
      <c r="D797" s="30" t="s">
        <v>877</v>
      </c>
      <c r="E797" s="30" t="s">
        <v>45</v>
      </c>
      <c r="G797" s="35" t="s">
        <v>403</v>
      </c>
      <c r="H797" s="35" t="s">
        <v>398</v>
      </c>
      <c r="I797" s="30" t="s">
        <v>48</v>
      </c>
      <c r="J797" s="30">
        <v>2</v>
      </c>
      <c r="K797" s="30" t="s">
        <v>35</v>
      </c>
      <c r="L797" s="30" t="s">
        <v>358</v>
      </c>
      <c r="M797" s="30" t="s">
        <v>325</v>
      </c>
      <c r="T797"/>
    </row>
    <row r="798" spans="4:20" ht="15.75" customHeight="1">
      <c r="D798" s="30" t="s">
        <v>877</v>
      </c>
      <c r="E798" s="30" t="s">
        <v>331</v>
      </c>
      <c r="F798" s="35" t="s">
        <v>345</v>
      </c>
      <c r="I798" s="30" t="s">
        <v>333</v>
      </c>
      <c r="J798" s="30">
        <v>1</v>
      </c>
      <c r="K798" s="30" t="s">
        <v>35</v>
      </c>
      <c r="L798" s="30" t="s">
        <v>107</v>
      </c>
      <c r="M798" s="30" t="s">
        <v>325</v>
      </c>
      <c r="T798"/>
    </row>
    <row r="799" spans="4:20" ht="15.75" customHeight="1">
      <c r="D799" s="30" t="s">
        <v>877</v>
      </c>
      <c r="E799" s="30" t="s">
        <v>326</v>
      </c>
      <c r="G799" s="35" t="s">
        <v>380</v>
      </c>
      <c r="H799" s="35" t="s">
        <v>344</v>
      </c>
      <c r="I799" s="30" t="s">
        <v>329</v>
      </c>
      <c r="J799" s="30">
        <v>2</v>
      </c>
      <c r="K799" s="30" t="s">
        <v>35</v>
      </c>
      <c r="L799" s="30" t="s">
        <v>330</v>
      </c>
      <c r="M799" s="30" t="s">
        <v>325</v>
      </c>
      <c r="T799"/>
    </row>
    <row r="800" spans="4:20" ht="15" customHeight="1">
      <c r="D800" s="30" t="s">
        <v>878</v>
      </c>
      <c r="E800" s="30" t="s">
        <v>46</v>
      </c>
      <c r="F800" s="35" t="s">
        <v>335</v>
      </c>
      <c r="I800" s="30" t="s">
        <v>333</v>
      </c>
      <c r="J800" s="30">
        <v>1</v>
      </c>
      <c r="K800" s="30" t="s">
        <v>35</v>
      </c>
      <c r="L800" s="30" t="s">
        <v>336</v>
      </c>
      <c r="M800" s="30" t="s">
        <v>325</v>
      </c>
      <c r="N800" s="96"/>
      <c r="T800"/>
    </row>
    <row r="801" spans="4:20" ht="15" customHeight="1">
      <c r="D801" s="30" t="s">
        <v>878</v>
      </c>
      <c r="E801" s="30" t="s">
        <v>337</v>
      </c>
      <c r="F801" s="35" t="s">
        <v>387</v>
      </c>
      <c r="I801" s="30" t="s">
        <v>333</v>
      </c>
      <c r="J801" s="30">
        <v>1</v>
      </c>
      <c r="K801" s="30" t="s">
        <v>35</v>
      </c>
      <c r="L801" s="30" t="s">
        <v>336</v>
      </c>
      <c r="M801" s="30" t="s">
        <v>325</v>
      </c>
      <c r="T801"/>
    </row>
    <row r="802" spans="4:20" ht="15" customHeight="1">
      <c r="D802" s="30" t="s">
        <v>878</v>
      </c>
      <c r="E802" s="30" t="s">
        <v>334</v>
      </c>
      <c r="H802" s="35" t="s">
        <v>386</v>
      </c>
      <c r="I802" s="30" t="s">
        <v>333</v>
      </c>
      <c r="J802" s="30">
        <v>1</v>
      </c>
      <c r="K802" s="30" t="s">
        <v>35</v>
      </c>
      <c r="L802" s="30" t="s">
        <v>336</v>
      </c>
      <c r="M802" s="30" t="s">
        <v>325</v>
      </c>
      <c r="T802"/>
    </row>
    <row r="803" spans="4:20" ht="15" customHeight="1">
      <c r="D803" s="30" t="s">
        <v>878</v>
      </c>
      <c r="E803" s="30" t="s">
        <v>338</v>
      </c>
      <c r="F803" s="35" t="s">
        <v>339</v>
      </c>
      <c r="I803" s="30" t="s">
        <v>333</v>
      </c>
      <c r="J803" s="30">
        <v>1</v>
      </c>
      <c r="K803" s="30" t="s">
        <v>35</v>
      </c>
      <c r="L803" s="30" t="s">
        <v>107</v>
      </c>
      <c r="M803" s="30" t="s">
        <v>325</v>
      </c>
      <c r="T803"/>
    </row>
    <row r="804" spans="4:20" ht="15" customHeight="1">
      <c r="D804" s="30" t="s">
        <v>340</v>
      </c>
      <c r="E804" s="30" t="s">
        <v>46</v>
      </c>
      <c r="F804" s="35" t="s">
        <v>335</v>
      </c>
      <c r="I804" s="30" t="s">
        <v>333</v>
      </c>
      <c r="J804" s="30">
        <v>1</v>
      </c>
      <c r="K804" s="30" t="s">
        <v>35</v>
      </c>
      <c r="L804" s="30" t="s">
        <v>336</v>
      </c>
      <c r="M804" s="30" t="s">
        <v>325</v>
      </c>
      <c r="T804"/>
    </row>
    <row r="805" spans="4:20" ht="15" customHeight="1">
      <c r="D805" s="30" t="s">
        <v>340</v>
      </c>
      <c r="E805" s="30" t="s">
        <v>337</v>
      </c>
      <c r="H805" s="35" t="s">
        <v>346</v>
      </c>
      <c r="I805" s="30" t="s">
        <v>333</v>
      </c>
      <c r="J805" s="30">
        <v>1</v>
      </c>
      <c r="K805" s="30" t="s">
        <v>35</v>
      </c>
      <c r="L805" s="30" t="s">
        <v>336</v>
      </c>
      <c r="M805" s="30" t="s">
        <v>325</v>
      </c>
      <c r="T805"/>
    </row>
    <row r="806" spans="4:20" ht="15" customHeight="1">
      <c r="D806" s="30" t="s">
        <v>340</v>
      </c>
      <c r="E806" s="30" t="s">
        <v>334</v>
      </c>
      <c r="F806" s="35" t="s">
        <v>335</v>
      </c>
      <c r="I806" s="30" t="s">
        <v>333</v>
      </c>
      <c r="J806" s="30">
        <v>1</v>
      </c>
      <c r="K806" s="30" t="s">
        <v>35</v>
      </c>
      <c r="L806" s="30" t="s">
        <v>336</v>
      </c>
      <c r="M806" s="30" t="s">
        <v>325</v>
      </c>
      <c r="T806"/>
    </row>
    <row r="807" spans="4:20" ht="15" customHeight="1">
      <c r="D807" s="30" t="s">
        <v>340</v>
      </c>
      <c r="E807" s="30" t="s">
        <v>338</v>
      </c>
      <c r="F807" s="35" t="s">
        <v>339</v>
      </c>
      <c r="I807" s="30" t="s">
        <v>333</v>
      </c>
      <c r="J807" s="30">
        <v>1</v>
      </c>
      <c r="K807" s="30" t="s">
        <v>35</v>
      </c>
      <c r="L807" s="30" t="s">
        <v>107</v>
      </c>
      <c r="M807" s="30" t="s">
        <v>325</v>
      </c>
      <c r="T807"/>
    </row>
    <row r="808" spans="4:20" ht="15" customHeight="1">
      <c r="D808" s="30" t="s">
        <v>340</v>
      </c>
      <c r="E808" s="30" t="s">
        <v>322</v>
      </c>
      <c r="G808" s="35" t="s">
        <v>341</v>
      </c>
      <c r="H808" s="35" t="s">
        <v>342</v>
      </c>
      <c r="I808" s="30" t="s">
        <v>48</v>
      </c>
      <c r="J808" s="30">
        <v>2</v>
      </c>
      <c r="K808" s="30" t="s">
        <v>35</v>
      </c>
      <c r="L808" s="30" t="s">
        <v>324</v>
      </c>
      <c r="M808" s="30" t="s">
        <v>325</v>
      </c>
      <c r="T808"/>
    </row>
    <row r="809" spans="4:20" ht="15" customHeight="1">
      <c r="D809" s="30" t="s">
        <v>340</v>
      </c>
      <c r="E809" s="30" t="s">
        <v>45</v>
      </c>
      <c r="G809" s="35" t="s">
        <v>356</v>
      </c>
      <c r="H809" s="35" t="s">
        <v>357</v>
      </c>
      <c r="I809" s="30" t="s">
        <v>48</v>
      </c>
      <c r="J809" s="30">
        <v>2</v>
      </c>
      <c r="K809" s="30" t="s">
        <v>35</v>
      </c>
      <c r="L809" s="30" t="s">
        <v>358</v>
      </c>
      <c r="M809" s="30" t="s">
        <v>325</v>
      </c>
      <c r="T809"/>
    </row>
    <row r="810" spans="4:20" ht="15" customHeight="1">
      <c r="D810" s="30" t="s">
        <v>340</v>
      </c>
      <c r="E810" s="30" t="s">
        <v>347</v>
      </c>
      <c r="G810" s="35" t="s">
        <v>348</v>
      </c>
      <c r="I810" s="30" t="s">
        <v>329</v>
      </c>
      <c r="J810" s="30">
        <v>2</v>
      </c>
      <c r="K810" s="30" t="s">
        <v>35</v>
      </c>
      <c r="L810" s="30" t="s">
        <v>330</v>
      </c>
      <c r="M810" s="30" t="s">
        <v>325</v>
      </c>
      <c r="T810"/>
    </row>
    <row r="811" spans="4:20" ht="15" customHeight="1">
      <c r="D811" s="30" t="s">
        <v>340</v>
      </c>
      <c r="E811" s="30" t="s">
        <v>331</v>
      </c>
      <c r="F811" s="35" t="s">
        <v>345</v>
      </c>
      <c r="I811" s="30" t="s">
        <v>333</v>
      </c>
      <c r="J811" s="30">
        <v>1</v>
      </c>
      <c r="K811" s="30" t="s">
        <v>35</v>
      </c>
      <c r="L811" s="30" t="s">
        <v>107</v>
      </c>
      <c r="M811" s="30" t="s">
        <v>325</v>
      </c>
      <c r="T811"/>
    </row>
    <row r="812" spans="4:20" ht="15" customHeight="1">
      <c r="D812" s="30" t="s">
        <v>340</v>
      </c>
      <c r="E812" s="30" t="s">
        <v>353</v>
      </c>
      <c r="F812" s="35" t="s">
        <v>354</v>
      </c>
      <c r="I812" s="30" t="s">
        <v>355</v>
      </c>
      <c r="J812" s="30" t="s">
        <v>352</v>
      </c>
      <c r="K812" s="30" t="s">
        <v>35</v>
      </c>
      <c r="L812" s="30" t="s">
        <v>107</v>
      </c>
      <c r="M812" s="30" t="s">
        <v>325</v>
      </c>
      <c r="T812"/>
    </row>
    <row r="813" spans="4:20" ht="15" customHeight="1">
      <c r="D813" s="30" t="s">
        <v>340</v>
      </c>
      <c r="E813" s="30" t="s">
        <v>326</v>
      </c>
      <c r="G813" s="35" t="s">
        <v>343</v>
      </c>
      <c r="H813" s="35" t="s">
        <v>344</v>
      </c>
      <c r="I813" s="30" t="s">
        <v>329</v>
      </c>
      <c r="J813" s="30">
        <v>2</v>
      </c>
      <c r="K813" s="30" t="s">
        <v>35</v>
      </c>
      <c r="L813" s="30" t="s">
        <v>330</v>
      </c>
      <c r="M813" s="30" t="s">
        <v>325</v>
      </c>
      <c r="T813"/>
    </row>
    <row r="814" spans="4:20" ht="15" customHeight="1">
      <c r="D814" s="30" t="s">
        <v>340</v>
      </c>
      <c r="E814" s="30" t="s">
        <v>349</v>
      </c>
      <c r="F814" s="35" t="s">
        <v>350</v>
      </c>
      <c r="I814" s="30" t="s">
        <v>351</v>
      </c>
      <c r="J814" s="30" t="s">
        <v>352</v>
      </c>
      <c r="K814" s="30" t="s">
        <v>35</v>
      </c>
      <c r="L814" s="30" t="s">
        <v>324</v>
      </c>
      <c r="M814" s="30" t="s">
        <v>325</v>
      </c>
      <c r="T814"/>
    </row>
    <row r="815" spans="4:20" ht="15" customHeight="1">
      <c r="D815" s="30" t="s">
        <v>359</v>
      </c>
      <c r="E815" s="30" t="s">
        <v>46</v>
      </c>
      <c r="F815" s="35" t="s">
        <v>335</v>
      </c>
      <c r="I815" s="30" t="s">
        <v>333</v>
      </c>
      <c r="J815" s="30">
        <v>1</v>
      </c>
      <c r="K815" s="30" t="s">
        <v>35</v>
      </c>
      <c r="L815" s="30" t="s">
        <v>336</v>
      </c>
      <c r="M815" s="30" t="s">
        <v>325</v>
      </c>
      <c r="T815"/>
    </row>
    <row r="816" spans="4:20" ht="15" customHeight="1">
      <c r="D816" s="30" t="s">
        <v>359</v>
      </c>
      <c r="E816" s="30" t="s">
        <v>337</v>
      </c>
      <c r="H816" s="35" t="s">
        <v>360</v>
      </c>
      <c r="I816" s="30" t="s">
        <v>333</v>
      </c>
      <c r="J816" s="30">
        <v>1</v>
      </c>
      <c r="K816" s="30" t="s">
        <v>35</v>
      </c>
      <c r="L816" s="30" t="s">
        <v>336</v>
      </c>
      <c r="M816" s="30" t="s">
        <v>325</v>
      </c>
      <c r="T816"/>
    </row>
    <row r="817" spans="4:20" ht="15" customHeight="1">
      <c r="D817" s="30" t="s">
        <v>359</v>
      </c>
      <c r="E817" s="30" t="s">
        <v>334</v>
      </c>
      <c r="F817" s="35" t="s">
        <v>335</v>
      </c>
      <c r="I817" s="30" t="s">
        <v>333</v>
      </c>
      <c r="J817" s="30">
        <v>1</v>
      </c>
      <c r="K817" s="30" t="s">
        <v>35</v>
      </c>
      <c r="L817" s="30" t="s">
        <v>336</v>
      </c>
      <c r="M817" s="30" t="s">
        <v>325</v>
      </c>
      <c r="T817"/>
    </row>
    <row r="818" spans="4:20" ht="15" customHeight="1">
      <c r="D818" s="30" t="s">
        <v>359</v>
      </c>
      <c r="E818" s="30" t="s">
        <v>338</v>
      </c>
      <c r="F818" s="35" t="s">
        <v>339</v>
      </c>
      <c r="I818" s="30" t="s">
        <v>333</v>
      </c>
      <c r="J818" s="30">
        <v>1</v>
      </c>
      <c r="K818" s="30" t="s">
        <v>35</v>
      </c>
      <c r="L818" s="30" t="s">
        <v>107</v>
      </c>
      <c r="M818" s="30" t="s">
        <v>325</v>
      </c>
      <c r="T818"/>
    </row>
    <row r="819" spans="4:20" ht="15" customHeight="1">
      <c r="D819" s="30" t="s">
        <v>359</v>
      </c>
      <c r="E819" s="30" t="s">
        <v>322</v>
      </c>
      <c r="G819" s="35" t="s">
        <v>341</v>
      </c>
      <c r="H819" s="35" t="s">
        <v>342</v>
      </c>
      <c r="I819" s="30" t="s">
        <v>48</v>
      </c>
      <c r="J819" s="30">
        <v>2</v>
      </c>
      <c r="K819" s="30" t="s">
        <v>35</v>
      </c>
      <c r="L819" s="30" t="s">
        <v>324</v>
      </c>
      <c r="M819" s="30" t="s">
        <v>325</v>
      </c>
      <c r="T819"/>
    </row>
    <row r="820" spans="4:20" ht="15" customHeight="1">
      <c r="D820" s="30" t="s">
        <v>359</v>
      </c>
      <c r="E820" s="30" t="s">
        <v>45</v>
      </c>
      <c r="G820" s="35" t="s">
        <v>356</v>
      </c>
      <c r="H820" s="35" t="s">
        <v>357</v>
      </c>
      <c r="I820" s="30" t="s">
        <v>48</v>
      </c>
      <c r="J820" s="30">
        <v>2</v>
      </c>
      <c r="K820" s="30" t="s">
        <v>35</v>
      </c>
      <c r="L820" s="30" t="s">
        <v>358</v>
      </c>
      <c r="M820" s="30" t="s">
        <v>325</v>
      </c>
      <c r="T820"/>
    </row>
    <row r="821" spans="4:20" ht="15" customHeight="1">
      <c r="D821" s="30" t="s">
        <v>359</v>
      </c>
      <c r="E821" s="30" t="s">
        <v>347</v>
      </c>
      <c r="G821" s="35" t="s">
        <v>348</v>
      </c>
      <c r="I821" s="30" t="s">
        <v>329</v>
      </c>
      <c r="J821" s="30">
        <v>2</v>
      </c>
      <c r="K821" s="30" t="s">
        <v>35</v>
      </c>
      <c r="L821" s="30" t="s">
        <v>330</v>
      </c>
      <c r="M821" s="30" t="s">
        <v>325</v>
      </c>
      <c r="T821"/>
    </row>
    <row r="822" spans="4:20" ht="15" customHeight="1">
      <c r="D822" s="30" t="s">
        <v>359</v>
      </c>
      <c r="E822" s="30" t="s">
        <v>331</v>
      </c>
      <c r="F822" s="35" t="s">
        <v>345</v>
      </c>
      <c r="I822" s="30" t="s">
        <v>333</v>
      </c>
      <c r="J822" s="30">
        <v>1</v>
      </c>
      <c r="K822" s="30" t="s">
        <v>35</v>
      </c>
      <c r="L822" s="30" t="s">
        <v>107</v>
      </c>
      <c r="M822" s="30" t="s">
        <v>325</v>
      </c>
      <c r="T822"/>
    </row>
    <row r="823" spans="4:20" ht="15" customHeight="1">
      <c r="D823" s="30" t="s">
        <v>359</v>
      </c>
      <c r="E823" s="30" t="s">
        <v>353</v>
      </c>
      <c r="F823" s="35" t="s">
        <v>354</v>
      </c>
      <c r="I823" s="30" t="s">
        <v>355</v>
      </c>
      <c r="J823" s="30" t="s">
        <v>352</v>
      </c>
      <c r="K823" s="30" t="s">
        <v>35</v>
      </c>
      <c r="L823" s="30" t="s">
        <v>107</v>
      </c>
      <c r="M823" s="30" t="s">
        <v>325</v>
      </c>
      <c r="T823"/>
    </row>
    <row r="824" spans="4:20" ht="15" customHeight="1">
      <c r="D824" s="30" t="s">
        <v>359</v>
      </c>
      <c r="E824" s="30" t="s">
        <v>326</v>
      </c>
      <c r="G824" s="35" t="s">
        <v>343</v>
      </c>
      <c r="H824" s="35" t="s">
        <v>344</v>
      </c>
      <c r="I824" s="30" t="s">
        <v>329</v>
      </c>
      <c r="J824" s="30">
        <v>2</v>
      </c>
      <c r="K824" s="30" t="s">
        <v>35</v>
      </c>
      <c r="L824" s="30" t="s">
        <v>330</v>
      </c>
      <c r="M824" s="30" t="s">
        <v>325</v>
      </c>
      <c r="T824"/>
    </row>
    <row r="825" spans="4:20" ht="15" customHeight="1">
      <c r="D825" s="30" t="s">
        <v>359</v>
      </c>
      <c r="E825" s="30" t="s">
        <v>349</v>
      </c>
      <c r="F825" s="35" t="s">
        <v>350</v>
      </c>
      <c r="I825" s="30" t="s">
        <v>351</v>
      </c>
      <c r="J825" s="30" t="s">
        <v>352</v>
      </c>
      <c r="K825" s="30" t="s">
        <v>35</v>
      </c>
      <c r="L825" s="30" t="s">
        <v>324</v>
      </c>
      <c r="M825" s="30" t="s">
        <v>325</v>
      </c>
      <c r="T825"/>
    </row>
    <row r="826" spans="4:20" ht="15" customHeight="1">
      <c r="D826" s="30" t="s">
        <v>361</v>
      </c>
      <c r="E826" s="30" t="s">
        <v>46</v>
      </c>
      <c r="F826" s="35" t="s">
        <v>335</v>
      </c>
      <c r="I826" s="30" t="s">
        <v>333</v>
      </c>
      <c r="J826" s="30">
        <v>1</v>
      </c>
      <c r="K826" s="30" t="s">
        <v>35</v>
      </c>
      <c r="L826" s="30" t="s">
        <v>336</v>
      </c>
      <c r="M826" s="30" t="s">
        <v>325</v>
      </c>
      <c r="T826"/>
    </row>
    <row r="827" spans="4:20" ht="15" customHeight="1">
      <c r="D827" s="30" t="s">
        <v>361</v>
      </c>
      <c r="E827" s="30" t="s">
        <v>337</v>
      </c>
      <c r="F827" s="35" t="s">
        <v>368</v>
      </c>
      <c r="I827" s="30" t="s">
        <v>333</v>
      </c>
      <c r="J827" s="30">
        <v>1</v>
      </c>
      <c r="K827" s="30" t="s">
        <v>35</v>
      </c>
      <c r="L827" s="30" t="s">
        <v>336</v>
      </c>
      <c r="M827" s="30" t="s">
        <v>325</v>
      </c>
      <c r="T827"/>
    </row>
    <row r="828" spans="4:20" ht="0.75" customHeight="1">
      <c r="D828" s="30" t="s">
        <v>361</v>
      </c>
      <c r="E828" s="30" t="s">
        <v>334</v>
      </c>
      <c r="F828" s="35" t="s">
        <v>335</v>
      </c>
      <c r="I828" s="30" t="s">
        <v>333</v>
      </c>
      <c r="J828" s="30">
        <v>1</v>
      </c>
      <c r="K828" s="30" t="s">
        <v>35</v>
      </c>
      <c r="L828" s="30" t="s">
        <v>336</v>
      </c>
      <c r="M828" s="30" t="s">
        <v>325</v>
      </c>
      <c r="T828"/>
    </row>
    <row r="829" spans="4:20" ht="15" customHeight="1">
      <c r="D829" s="30" t="s">
        <v>361</v>
      </c>
      <c r="E829" s="30" t="s">
        <v>338</v>
      </c>
      <c r="F829" s="35" t="s">
        <v>339</v>
      </c>
      <c r="I829" s="30" t="s">
        <v>333</v>
      </c>
      <c r="J829" s="30">
        <v>1</v>
      </c>
      <c r="K829" s="30" t="s">
        <v>35</v>
      </c>
      <c r="L829" s="30" t="s">
        <v>107</v>
      </c>
      <c r="M829" s="30" t="s">
        <v>325</v>
      </c>
      <c r="T829"/>
    </row>
    <row r="830" spans="4:20" ht="15" customHeight="1">
      <c r="D830" s="30" t="s">
        <v>361</v>
      </c>
      <c r="E830" s="30" t="s">
        <v>322</v>
      </c>
      <c r="G830" s="35" t="s">
        <v>362</v>
      </c>
      <c r="H830" s="35" t="s">
        <v>363</v>
      </c>
      <c r="I830" s="30" t="s">
        <v>48</v>
      </c>
      <c r="J830" s="30">
        <v>2</v>
      </c>
      <c r="K830" s="30" t="s">
        <v>35</v>
      </c>
      <c r="L830" s="30" t="s">
        <v>324</v>
      </c>
      <c r="M830" s="30" t="s">
        <v>325</v>
      </c>
      <c r="T830"/>
    </row>
    <row r="831" spans="4:20" ht="15" customHeight="1">
      <c r="D831" s="30" t="s">
        <v>361</v>
      </c>
      <c r="E831" s="30" t="s">
        <v>45</v>
      </c>
      <c r="G831" s="35" t="s">
        <v>364</v>
      </c>
      <c r="H831" s="35" t="s">
        <v>365</v>
      </c>
      <c r="I831" s="30" t="s">
        <v>48</v>
      </c>
      <c r="J831" s="30">
        <v>2</v>
      </c>
      <c r="K831" s="30" t="s">
        <v>35</v>
      </c>
      <c r="L831" s="30" t="s">
        <v>358</v>
      </c>
      <c r="M831" s="30" t="s">
        <v>325</v>
      </c>
      <c r="T831"/>
    </row>
    <row r="832" spans="4:20" ht="15" customHeight="1">
      <c r="D832" s="30" t="s">
        <v>361</v>
      </c>
      <c r="E832" s="30" t="s">
        <v>331</v>
      </c>
      <c r="F832" s="35" t="s">
        <v>345</v>
      </c>
      <c r="I832" s="30" t="s">
        <v>333</v>
      </c>
      <c r="J832" s="30">
        <v>1</v>
      </c>
      <c r="K832" s="30" t="s">
        <v>35</v>
      </c>
      <c r="L832" s="30" t="s">
        <v>107</v>
      </c>
      <c r="M832" s="30" t="s">
        <v>325</v>
      </c>
      <c r="T832"/>
    </row>
    <row r="833" spans="4:20" ht="15" customHeight="1">
      <c r="D833" s="30" t="s">
        <v>361</v>
      </c>
      <c r="E833" s="30" t="s">
        <v>326</v>
      </c>
      <c r="G833" s="35" t="s">
        <v>366</v>
      </c>
      <c r="H833" s="35" t="s">
        <v>367</v>
      </c>
      <c r="I833" s="30" t="s">
        <v>329</v>
      </c>
      <c r="J833" s="30">
        <v>2</v>
      </c>
      <c r="K833" s="30" t="s">
        <v>35</v>
      </c>
      <c r="L833" s="30" t="s">
        <v>330</v>
      </c>
      <c r="M833" s="30" t="s">
        <v>325</v>
      </c>
      <c r="T833"/>
    </row>
    <row r="834" spans="4:20" ht="15" customHeight="1">
      <c r="D834" s="30" t="s">
        <v>361</v>
      </c>
      <c r="E834" s="30" t="s">
        <v>349</v>
      </c>
      <c r="F834" s="35" t="s">
        <v>369</v>
      </c>
      <c r="I834" s="30" t="s">
        <v>351</v>
      </c>
      <c r="J834" s="30" t="s">
        <v>352</v>
      </c>
      <c r="K834" s="30" t="s">
        <v>35</v>
      </c>
      <c r="L834" s="30" t="s">
        <v>324</v>
      </c>
      <c r="M834" s="30" t="s">
        <v>325</v>
      </c>
      <c r="T834"/>
    </row>
    <row r="835" spans="4:20" ht="15" customHeight="1">
      <c r="D835" s="30" t="s">
        <v>370</v>
      </c>
      <c r="E835" s="30" t="s">
        <v>46</v>
      </c>
      <c r="F835" s="35" t="s">
        <v>335</v>
      </c>
      <c r="I835" s="30" t="s">
        <v>333</v>
      </c>
      <c r="J835" s="30">
        <v>1</v>
      </c>
      <c r="K835" s="30" t="s">
        <v>35</v>
      </c>
      <c r="L835" s="30" t="s">
        <v>336</v>
      </c>
      <c r="M835" s="30" t="s">
        <v>325</v>
      </c>
      <c r="T835"/>
    </row>
    <row r="836" spans="4:20" ht="15" customHeight="1">
      <c r="D836" s="30" t="s">
        <v>370</v>
      </c>
      <c r="E836" s="30" t="s">
        <v>337</v>
      </c>
      <c r="F836" s="35" t="s">
        <v>368</v>
      </c>
      <c r="I836" s="30" t="s">
        <v>333</v>
      </c>
      <c r="J836" s="30">
        <v>1</v>
      </c>
      <c r="K836" s="30" t="s">
        <v>35</v>
      </c>
      <c r="L836" s="30" t="s">
        <v>336</v>
      </c>
      <c r="M836" s="30" t="s">
        <v>325</v>
      </c>
      <c r="T836"/>
    </row>
    <row r="837" spans="4:20" ht="15" customHeight="1">
      <c r="D837" s="30" t="s">
        <v>370</v>
      </c>
      <c r="E837" s="30" t="s">
        <v>334</v>
      </c>
      <c r="F837" s="35" t="s">
        <v>335</v>
      </c>
      <c r="I837" s="30" t="s">
        <v>333</v>
      </c>
      <c r="J837" s="30">
        <v>1</v>
      </c>
      <c r="K837" s="30" t="s">
        <v>35</v>
      </c>
      <c r="L837" s="30" t="s">
        <v>336</v>
      </c>
      <c r="M837" s="30" t="s">
        <v>325</v>
      </c>
      <c r="T837"/>
    </row>
    <row r="838" spans="4:20" ht="15" customHeight="1">
      <c r="D838" s="30" t="s">
        <v>370</v>
      </c>
      <c r="E838" s="30" t="s">
        <v>338</v>
      </c>
      <c r="F838" s="35" t="s">
        <v>339</v>
      </c>
      <c r="I838" s="30" t="s">
        <v>333</v>
      </c>
      <c r="J838" s="30">
        <v>1</v>
      </c>
      <c r="K838" s="30" t="s">
        <v>35</v>
      </c>
      <c r="L838" s="30" t="s">
        <v>107</v>
      </c>
      <c r="M838" s="30" t="s">
        <v>325</v>
      </c>
      <c r="T838"/>
    </row>
    <row r="839" spans="4:20" ht="15" customHeight="1">
      <c r="D839" s="30" t="s">
        <v>370</v>
      </c>
      <c r="E839" s="30" t="s">
        <v>322</v>
      </c>
      <c r="G839" s="35" t="s">
        <v>371</v>
      </c>
      <c r="H839" s="35" t="s">
        <v>372</v>
      </c>
      <c r="I839" s="30" t="s">
        <v>48</v>
      </c>
      <c r="J839" s="30">
        <v>2</v>
      </c>
      <c r="K839" s="30" t="s">
        <v>35</v>
      </c>
      <c r="L839" s="30" t="s">
        <v>324</v>
      </c>
      <c r="M839" s="30" t="s">
        <v>325</v>
      </c>
      <c r="T839"/>
    </row>
    <row r="840" spans="4:20" ht="15" customHeight="1">
      <c r="D840" s="30" t="s">
        <v>370</v>
      </c>
      <c r="E840" s="30" t="s">
        <v>45</v>
      </c>
      <c r="G840" s="35" t="s">
        <v>364</v>
      </c>
      <c r="H840" s="35" t="s">
        <v>365</v>
      </c>
      <c r="I840" s="30" t="s">
        <v>48</v>
      </c>
      <c r="J840" s="30">
        <v>2</v>
      </c>
      <c r="K840" s="30" t="s">
        <v>35</v>
      </c>
      <c r="L840" s="30" t="s">
        <v>358</v>
      </c>
      <c r="M840" s="30" t="s">
        <v>325</v>
      </c>
      <c r="T840"/>
    </row>
    <row r="841" spans="4:20" ht="15" customHeight="1">
      <c r="D841" s="30" t="s">
        <v>370</v>
      </c>
      <c r="E841" s="30" t="s">
        <v>331</v>
      </c>
      <c r="F841" s="35" t="s">
        <v>345</v>
      </c>
      <c r="I841" s="30" t="s">
        <v>333</v>
      </c>
      <c r="J841" s="30">
        <v>1</v>
      </c>
      <c r="K841" s="30" t="s">
        <v>35</v>
      </c>
      <c r="L841" s="30" t="s">
        <v>107</v>
      </c>
      <c r="M841" s="30" t="s">
        <v>325</v>
      </c>
      <c r="T841"/>
    </row>
    <row r="842" spans="4:20" ht="15" customHeight="1">
      <c r="D842" s="30" t="s">
        <v>370</v>
      </c>
      <c r="E842" s="30" t="s">
        <v>326</v>
      </c>
      <c r="G842" s="35" t="s">
        <v>373</v>
      </c>
      <c r="H842" s="35" t="s">
        <v>374</v>
      </c>
      <c r="I842" s="30" t="s">
        <v>329</v>
      </c>
      <c r="J842" s="30">
        <v>2</v>
      </c>
      <c r="K842" s="30" t="s">
        <v>35</v>
      </c>
      <c r="L842" s="30" t="s">
        <v>330</v>
      </c>
      <c r="M842" s="30" t="s">
        <v>325</v>
      </c>
      <c r="T842"/>
    </row>
    <row r="843" spans="4:20" ht="15" customHeight="1">
      <c r="D843" s="30" t="s">
        <v>370</v>
      </c>
      <c r="E843" s="30" t="s">
        <v>349</v>
      </c>
      <c r="F843" s="35" t="s">
        <v>375</v>
      </c>
      <c r="I843" s="30" t="s">
        <v>351</v>
      </c>
      <c r="J843" s="30" t="s">
        <v>352</v>
      </c>
      <c r="K843" s="30" t="s">
        <v>35</v>
      </c>
      <c r="L843" s="30" t="s">
        <v>324</v>
      </c>
      <c r="M843" s="30" t="s">
        <v>325</v>
      </c>
      <c r="T843"/>
    </row>
    <row r="844" spans="4:20" ht="15" customHeight="1">
      <c r="D844" s="30" t="s">
        <v>376</v>
      </c>
      <c r="E844" s="30" t="s">
        <v>46</v>
      </c>
      <c r="F844" s="35" t="s">
        <v>335</v>
      </c>
      <c r="I844" s="30" t="s">
        <v>333</v>
      </c>
      <c r="J844" s="30">
        <v>1</v>
      </c>
      <c r="K844" s="30" t="s">
        <v>35</v>
      </c>
      <c r="L844" s="30" t="s">
        <v>336</v>
      </c>
      <c r="M844" s="30" t="s">
        <v>325</v>
      </c>
      <c r="T844"/>
    </row>
    <row r="845" spans="4:20" ht="15" customHeight="1">
      <c r="D845" s="30" t="s">
        <v>376</v>
      </c>
      <c r="E845" s="30" t="s">
        <v>337</v>
      </c>
      <c r="F845" s="35" t="s">
        <v>381</v>
      </c>
      <c r="I845" s="30" t="s">
        <v>333</v>
      </c>
      <c r="J845" s="30">
        <v>1</v>
      </c>
      <c r="K845" s="30" t="s">
        <v>35</v>
      </c>
      <c r="L845" s="30" t="s">
        <v>336</v>
      </c>
      <c r="M845" s="30" t="s">
        <v>325</v>
      </c>
      <c r="T845"/>
    </row>
    <row r="846" spans="4:20" ht="14.25" customHeight="1">
      <c r="D846" s="30" t="s">
        <v>376</v>
      </c>
      <c r="E846" s="30" t="s">
        <v>334</v>
      </c>
      <c r="F846" s="35" t="s">
        <v>335</v>
      </c>
      <c r="I846" s="30" t="s">
        <v>333</v>
      </c>
      <c r="J846" s="30">
        <v>1</v>
      </c>
      <c r="K846" s="30" t="s">
        <v>35</v>
      </c>
      <c r="L846" s="30" t="s">
        <v>336</v>
      </c>
      <c r="M846" s="30" t="s">
        <v>325</v>
      </c>
      <c r="T846"/>
    </row>
    <row r="847" spans="4:20" ht="15" customHeight="1">
      <c r="D847" s="30" t="s">
        <v>376</v>
      </c>
      <c r="E847" s="30" t="s">
        <v>338</v>
      </c>
      <c r="F847" s="35" t="s">
        <v>339</v>
      </c>
      <c r="I847" s="30" t="s">
        <v>333</v>
      </c>
      <c r="J847" s="30">
        <v>1</v>
      </c>
      <c r="K847" s="30" t="s">
        <v>35</v>
      </c>
      <c r="L847" s="30" t="s">
        <v>107</v>
      </c>
      <c r="M847" s="30" t="s">
        <v>325</v>
      </c>
      <c r="T847"/>
    </row>
    <row r="848" spans="4:20" ht="15" customHeight="1">
      <c r="D848" s="30" t="s">
        <v>376</v>
      </c>
      <c r="E848" s="30" t="s">
        <v>322</v>
      </c>
      <c r="G848" s="35" t="s">
        <v>363</v>
      </c>
      <c r="H848" s="35" t="s">
        <v>377</v>
      </c>
      <c r="I848" s="30" t="s">
        <v>48</v>
      </c>
      <c r="J848" s="30">
        <v>2</v>
      </c>
      <c r="K848" s="30" t="s">
        <v>35</v>
      </c>
      <c r="L848" s="30" t="s">
        <v>324</v>
      </c>
      <c r="M848" s="30" t="s">
        <v>325</v>
      </c>
      <c r="T848"/>
    </row>
    <row r="849" spans="4:20" ht="15" customHeight="1">
      <c r="D849" s="30" t="s">
        <v>376</v>
      </c>
      <c r="E849" s="30" t="s">
        <v>45</v>
      </c>
      <c r="G849" s="35" t="s">
        <v>378</v>
      </c>
      <c r="H849" s="35" t="s">
        <v>379</v>
      </c>
      <c r="I849" s="30" t="s">
        <v>48</v>
      </c>
      <c r="J849" s="30">
        <v>2</v>
      </c>
      <c r="K849" s="30" t="s">
        <v>35</v>
      </c>
      <c r="L849" s="30" t="s">
        <v>358</v>
      </c>
      <c r="M849" s="30" t="s">
        <v>325</v>
      </c>
      <c r="T849"/>
    </row>
    <row r="850" spans="4:20" ht="15" customHeight="1">
      <c r="D850" s="30" t="s">
        <v>376</v>
      </c>
      <c r="E850" s="30" t="s">
        <v>331</v>
      </c>
      <c r="F850" s="35" t="s">
        <v>345</v>
      </c>
      <c r="I850" s="30" t="s">
        <v>333</v>
      </c>
      <c r="J850" s="30">
        <v>1</v>
      </c>
      <c r="K850" s="30" t="s">
        <v>35</v>
      </c>
      <c r="L850" s="30" t="s">
        <v>107</v>
      </c>
      <c r="M850" s="30" t="s">
        <v>325</v>
      </c>
      <c r="T850"/>
    </row>
    <row r="851" spans="4:20" ht="15" customHeight="1">
      <c r="D851" s="30" t="s">
        <v>376</v>
      </c>
      <c r="E851" s="30" t="s">
        <v>353</v>
      </c>
      <c r="F851" s="35" t="s">
        <v>354</v>
      </c>
      <c r="I851" s="30" t="s">
        <v>355</v>
      </c>
      <c r="J851" s="30" t="s">
        <v>352</v>
      </c>
      <c r="K851" s="30" t="s">
        <v>35</v>
      </c>
      <c r="L851" s="30" t="s">
        <v>107</v>
      </c>
      <c r="M851" s="30" t="s">
        <v>325</v>
      </c>
      <c r="T851"/>
    </row>
    <row r="852" spans="4:20" ht="15" customHeight="1">
      <c r="D852" s="30" t="s">
        <v>376</v>
      </c>
      <c r="E852" s="30" t="s">
        <v>326</v>
      </c>
      <c r="G852" s="35" t="s">
        <v>367</v>
      </c>
      <c r="H852" s="35" t="s">
        <v>380</v>
      </c>
      <c r="I852" s="30" t="s">
        <v>329</v>
      </c>
      <c r="J852" s="30">
        <v>2</v>
      </c>
      <c r="K852" s="30" t="s">
        <v>35</v>
      </c>
      <c r="L852" s="30" t="s">
        <v>330</v>
      </c>
      <c r="M852" s="30" t="s">
        <v>325</v>
      </c>
      <c r="T852"/>
    </row>
    <row r="853" spans="4:20" ht="15" customHeight="1">
      <c r="D853" s="30" t="s">
        <v>376</v>
      </c>
      <c r="E853" s="30" t="s">
        <v>349</v>
      </c>
      <c r="F853" s="35" t="s">
        <v>382</v>
      </c>
      <c r="I853" s="30" t="s">
        <v>351</v>
      </c>
      <c r="J853" s="30" t="s">
        <v>352</v>
      </c>
      <c r="K853" s="30" t="s">
        <v>35</v>
      </c>
      <c r="L853" s="30" t="s">
        <v>324</v>
      </c>
      <c r="M853" s="30" t="s">
        <v>325</v>
      </c>
      <c r="T853"/>
    </row>
    <row r="854" spans="4:20" ht="15" customHeight="1">
      <c r="D854" s="30" t="s">
        <v>615</v>
      </c>
      <c r="E854" s="30" t="s">
        <v>46</v>
      </c>
      <c r="F854" s="35" t="s">
        <v>335</v>
      </c>
      <c r="I854" s="30" t="s">
        <v>333</v>
      </c>
      <c r="J854" s="30">
        <v>1</v>
      </c>
      <c r="K854" s="30" t="s">
        <v>35</v>
      </c>
      <c r="L854" s="30" t="s">
        <v>336</v>
      </c>
      <c r="M854" s="30" t="s">
        <v>325</v>
      </c>
      <c r="T854"/>
    </row>
    <row r="855" spans="4:20" ht="15" customHeight="1">
      <c r="D855" s="30" t="s">
        <v>615</v>
      </c>
      <c r="E855" s="30" t="s">
        <v>337</v>
      </c>
      <c r="F855" s="35" t="s">
        <v>616</v>
      </c>
      <c r="I855" s="30" t="s">
        <v>333</v>
      </c>
      <c r="J855" s="30">
        <v>1</v>
      </c>
      <c r="K855" s="30" t="s">
        <v>35</v>
      </c>
      <c r="L855" s="30" t="s">
        <v>336</v>
      </c>
      <c r="M855" s="30" t="s">
        <v>325</v>
      </c>
      <c r="T855"/>
    </row>
    <row r="856" spans="4:20" ht="15" customHeight="1">
      <c r="D856" s="30" t="s">
        <v>615</v>
      </c>
      <c r="E856" s="30" t="s">
        <v>334</v>
      </c>
      <c r="F856" s="35" t="s">
        <v>335</v>
      </c>
      <c r="I856" s="30" t="s">
        <v>333</v>
      </c>
      <c r="J856" s="30">
        <v>1</v>
      </c>
      <c r="K856" s="30" t="s">
        <v>35</v>
      </c>
      <c r="L856" s="30" t="s">
        <v>336</v>
      </c>
      <c r="M856" s="30" t="s">
        <v>325</v>
      </c>
      <c r="T856"/>
    </row>
    <row r="857" spans="4:20" ht="15" customHeight="1">
      <c r="D857" s="30" t="s">
        <v>615</v>
      </c>
      <c r="E857" s="30" t="s">
        <v>338</v>
      </c>
      <c r="F857" s="35" t="s">
        <v>339</v>
      </c>
      <c r="I857" s="30" t="s">
        <v>333</v>
      </c>
      <c r="J857" s="30">
        <v>1</v>
      </c>
      <c r="K857" s="30" t="s">
        <v>35</v>
      </c>
      <c r="L857" s="30" t="s">
        <v>107</v>
      </c>
      <c r="M857" s="30" t="s">
        <v>325</v>
      </c>
      <c r="T857"/>
    </row>
    <row r="858" spans="4:20" ht="15" customHeight="1">
      <c r="D858" s="30" t="s">
        <v>615</v>
      </c>
      <c r="E858" s="30" t="s">
        <v>322</v>
      </c>
      <c r="G858" s="35" t="s">
        <v>377</v>
      </c>
      <c r="H858" s="35" t="s">
        <v>394</v>
      </c>
      <c r="I858" s="30" t="s">
        <v>48</v>
      </c>
      <c r="J858" s="30">
        <v>2</v>
      </c>
      <c r="K858" s="30" t="s">
        <v>35</v>
      </c>
      <c r="L858" s="30" t="s">
        <v>324</v>
      </c>
      <c r="M858" s="30" t="s">
        <v>325</v>
      </c>
      <c r="T858"/>
    </row>
    <row r="859" spans="4:20" ht="15" customHeight="1">
      <c r="D859" s="30" t="s">
        <v>615</v>
      </c>
      <c r="E859" s="30" t="s">
        <v>45</v>
      </c>
      <c r="G859" s="35" t="s">
        <v>403</v>
      </c>
      <c r="H859" s="35" t="s">
        <v>398</v>
      </c>
      <c r="I859" s="30" t="s">
        <v>48</v>
      </c>
      <c r="J859" s="30">
        <v>2</v>
      </c>
      <c r="K859" s="30" t="s">
        <v>35</v>
      </c>
      <c r="L859" s="30" t="s">
        <v>358</v>
      </c>
      <c r="M859" s="30" t="s">
        <v>325</v>
      </c>
      <c r="T859"/>
    </row>
    <row r="860" spans="4:20" ht="15" customHeight="1">
      <c r="D860" s="30" t="s">
        <v>615</v>
      </c>
      <c r="E860" s="30" t="s">
        <v>331</v>
      </c>
      <c r="F860" s="35" t="s">
        <v>345</v>
      </c>
      <c r="I860" s="30" t="s">
        <v>333</v>
      </c>
      <c r="J860" s="30">
        <v>1</v>
      </c>
      <c r="K860" s="30" t="s">
        <v>35</v>
      </c>
      <c r="L860" s="30" t="s">
        <v>107</v>
      </c>
      <c r="M860" s="30" t="s">
        <v>325</v>
      </c>
      <c r="T860"/>
    </row>
    <row r="861" spans="4:20" ht="15" customHeight="1">
      <c r="D861" s="30" t="s">
        <v>615</v>
      </c>
      <c r="E861" s="30" t="s">
        <v>353</v>
      </c>
      <c r="F861" s="35" t="s">
        <v>354</v>
      </c>
      <c r="I861" s="30" t="s">
        <v>355</v>
      </c>
      <c r="J861" s="30" t="s">
        <v>352</v>
      </c>
      <c r="K861" s="30" t="s">
        <v>35</v>
      </c>
      <c r="L861" s="30" t="s">
        <v>107</v>
      </c>
      <c r="M861" s="30" t="s">
        <v>325</v>
      </c>
      <c r="T861"/>
    </row>
    <row r="862" spans="4:20" ht="15" customHeight="1">
      <c r="D862" s="30" t="s">
        <v>615</v>
      </c>
      <c r="E862" s="30" t="s">
        <v>326</v>
      </c>
      <c r="G862" s="35" t="s">
        <v>380</v>
      </c>
      <c r="H862" s="35" t="s">
        <v>405</v>
      </c>
      <c r="I862" s="30" t="s">
        <v>329</v>
      </c>
      <c r="J862" s="30">
        <v>2</v>
      </c>
      <c r="K862" s="30" t="s">
        <v>35</v>
      </c>
      <c r="L862" s="30" t="s">
        <v>330</v>
      </c>
      <c r="M862" s="30" t="s">
        <v>325</v>
      </c>
      <c r="T862"/>
    </row>
    <row r="863" spans="4:20" ht="15" customHeight="1">
      <c r="D863" s="30" t="s">
        <v>615</v>
      </c>
      <c r="E863" s="30" t="s">
        <v>349</v>
      </c>
      <c r="F863" s="35" t="s">
        <v>406</v>
      </c>
      <c r="I863" s="30" t="s">
        <v>351</v>
      </c>
      <c r="J863" s="30" t="s">
        <v>352</v>
      </c>
      <c r="K863" s="30" t="s">
        <v>35</v>
      </c>
      <c r="L863" s="30" t="s">
        <v>324</v>
      </c>
      <c r="M863" s="30" t="s">
        <v>325</v>
      </c>
      <c r="T863"/>
    </row>
    <row r="864" spans="4:20" ht="15" customHeight="1">
      <c r="D864" s="30" t="s">
        <v>584</v>
      </c>
      <c r="E864" s="30" t="s">
        <v>46</v>
      </c>
      <c r="F864" s="35" t="s">
        <v>335</v>
      </c>
      <c r="I864" s="30" t="s">
        <v>333</v>
      </c>
      <c r="J864" s="30">
        <v>1</v>
      </c>
      <c r="K864" s="30" t="s">
        <v>35</v>
      </c>
      <c r="L864" s="30" t="s">
        <v>336</v>
      </c>
      <c r="M864" s="30" t="s">
        <v>325</v>
      </c>
      <c r="T864"/>
    </row>
    <row r="865" spans="4:20" ht="15" customHeight="1">
      <c r="D865" s="30" t="s">
        <v>584</v>
      </c>
      <c r="E865" s="30" t="s">
        <v>337</v>
      </c>
      <c r="F865" s="35" t="s">
        <v>381</v>
      </c>
      <c r="I865" s="30" t="s">
        <v>333</v>
      </c>
      <c r="J865" s="30">
        <v>1</v>
      </c>
      <c r="K865" s="30" t="s">
        <v>35</v>
      </c>
      <c r="L865" s="30" t="s">
        <v>336</v>
      </c>
      <c r="M865" s="30" t="s">
        <v>325</v>
      </c>
      <c r="T865"/>
    </row>
    <row r="866" spans="4:20" ht="15" customHeight="1">
      <c r="D866" s="30" t="s">
        <v>584</v>
      </c>
      <c r="E866" s="30" t="s">
        <v>334</v>
      </c>
      <c r="H866" s="35" t="s">
        <v>386</v>
      </c>
      <c r="I866" s="30" t="s">
        <v>333</v>
      </c>
      <c r="J866" s="30">
        <v>1</v>
      </c>
      <c r="K866" s="30" t="s">
        <v>35</v>
      </c>
      <c r="L866" s="30" t="s">
        <v>336</v>
      </c>
      <c r="M866" s="30" t="s">
        <v>325</v>
      </c>
      <c r="T866"/>
    </row>
    <row r="867" spans="4:20" ht="15" customHeight="1">
      <c r="D867" s="30" t="s">
        <v>584</v>
      </c>
      <c r="E867" s="30" t="s">
        <v>338</v>
      </c>
      <c r="F867" s="35" t="s">
        <v>339</v>
      </c>
      <c r="I867" s="30" t="s">
        <v>333</v>
      </c>
      <c r="J867" s="30">
        <v>1</v>
      </c>
      <c r="K867" s="30" t="s">
        <v>35</v>
      </c>
      <c r="L867" s="30" t="s">
        <v>107</v>
      </c>
      <c r="M867" s="30" t="s">
        <v>325</v>
      </c>
      <c r="T867"/>
    </row>
    <row r="868" spans="4:20" ht="15" customHeight="1">
      <c r="D868" s="30" t="s">
        <v>584</v>
      </c>
      <c r="E868" s="30" t="s">
        <v>322</v>
      </c>
      <c r="G868" s="35" t="s">
        <v>479</v>
      </c>
      <c r="H868" s="35" t="s">
        <v>437</v>
      </c>
      <c r="I868" s="30" t="s">
        <v>48</v>
      </c>
      <c r="J868" s="30">
        <v>2</v>
      </c>
      <c r="K868" s="30" t="s">
        <v>35</v>
      </c>
      <c r="L868" s="30" t="s">
        <v>324</v>
      </c>
      <c r="M868" s="30" t="s">
        <v>325</v>
      </c>
      <c r="T868"/>
    </row>
    <row r="869" spans="4:20" ht="15" customHeight="1">
      <c r="D869" s="30" t="s">
        <v>584</v>
      </c>
      <c r="E869" s="30" t="s">
        <v>45</v>
      </c>
      <c r="G869" s="35" t="s">
        <v>356</v>
      </c>
      <c r="H869" s="35" t="s">
        <v>585</v>
      </c>
      <c r="I869" s="30" t="s">
        <v>48</v>
      </c>
      <c r="J869" s="30">
        <v>2</v>
      </c>
      <c r="K869" s="30" t="s">
        <v>35</v>
      </c>
      <c r="L869" s="30" t="s">
        <v>358</v>
      </c>
      <c r="M869" s="30" t="s">
        <v>325</v>
      </c>
      <c r="T869"/>
    </row>
    <row r="870" spans="4:20" ht="15" customHeight="1">
      <c r="D870" s="30" t="s">
        <v>584</v>
      </c>
      <c r="E870" s="30" t="s">
        <v>331</v>
      </c>
      <c r="F870" s="35" t="s">
        <v>345</v>
      </c>
      <c r="I870" s="30" t="s">
        <v>333</v>
      </c>
      <c r="J870" s="30">
        <v>1</v>
      </c>
      <c r="K870" s="30" t="s">
        <v>35</v>
      </c>
      <c r="L870" s="30" t="s">
        <v>107</v>
      </c>
      <c r="M870" s="30" t="s">
        <v>325</v>
      </c>
      <c r="T870"/>
    </row>
    <row r="871" spans="4:20" ht="15" customHeight="1">
      <c r="D871" s="30" t="s">
        <v>584</v>
      </c>
      <c r="E871" s="30" t="s">
        <v>353</v>
      </c>
      <c r="F871" s="35" t="s">
        <v>354</v>
      </c>
      <c r="I871" s="30" t="s">
        <v>355</v>
      </c>
      <c r="J871" s="30" t="s">
        <v>352</v>
      </c>
      <c r="K871" s="30" t="s">
        <v>35</v>
      </c>
      <c r="L871" s="30" t="s">
        <v>107</v>
      </c>
      <c r="M871" s="30" t="s">
        <v>325</v>
      </c>
      <c r="T871"/>
    </row>
    <row r="872" spans="4:20" ht="15" customHeight="1">
      <c r="D872" s="30" t="s">
        <v>584</v>
      </c>
      <c r="E872" s="30" t="s">
        <v>349</v>
      </c>
      <c r="F872" s="35" t="s">
        <v>560</v>
      </c>
      <c r="I872" s="30" t="s">
        <v>351</v>
      </c>
      <c r="J872" s="30" t="s">
        <v>352</v>
      </c>
      <c r="K872" s="30" t="s">
        <v>35</v>
      </c>
      <c r="L872" s="30" t="s">
        <v>324</v>
      </c>
      <c r="M872" s="30" t="s">
        <v>325</v>
      </c>
      <c r="T872"/>
    </row>
    <row r="873" spans="4:20" ht="15" customHeight="1">
      <c r="D873" s="30" t="s">
        <v>695</v>
      </c>
      <c r="E873" s="30" t="s">
        <v>46</v>
      </c>
      <c r="F873" s="35" t="s">
        <v>335</v>
      </c>
      <c r="I873" s="30" t="s">
        <v>333</v>
      </c>
      <c r="J873" s="30">
        <v>1</v>
      </c>
      <c r="K873" s="30" t="s">
        <v>35</v>
      </c>
      <c r="L873" s="30" t="s">
        <v>336</v>
      </c>
      <c r="M873" s="30" t="s">
        <v>325</v>
      </c>
      <c r="T873"/>
    </row>
    <row r="874" spans="4:20" ht="15" customHeight="1">
      <c r="D874" s="30" t="s">
        <v>695</v>
      </c>
      <c r="E874" s="30" t="s">
        <v>337</v>
      </c>
      <c r="F874" s="35" t="s">
        <v>381</v>
      </c>
      <c r="I874" s="30" t="s">
        <v>333</v>
      </c>
      <c r="J874" s="30">
        <v>1</v>
      </c>
      <c r="K874" s="30" t="s">
        <v>35</v>
      </c>
      <c r="L874" s="30" t="s">
        <v>336</v>
      </c>
      <c r="M874" s="30" t="s">
        <v>325</v>
      </c>
      <c r="T874"/>
    </row>
    <row r="875" spans="4:20" ht="15" customHeight="1">
      <c r="D875" s="30" t="s">
        <v>695</v>
      </c>
      <c r="E875" s="30" t="s">
        <v>334</v>
      </c>
      <c r="F875" s="35" t="s">
        <v>335</v>
      </c>
      <c r="I875" s="30" t="s">
        <v>333</v>
      </c>
      <c r="J875" s="30">
        <v>1</v>
      </c>
      <c r="K875" s="30" t="s">
        <v>35</v>
      </c>
      <c r="L875" s="30" t="s">
        <v>336</v>
      </c>
      <c r="M875" s="30" t="s">
        <v>325</v>
      </c>
      <c r="T875"/>
    </row>
    <row r="876" spans="4:20" ht="15" customHeight="1">
      <c r="D876" s="30" t="s">
        <v>695</v>
      </c>
      <c r="E876" s="30" t="s">
        <v>338</v>
      </c>
      <c r="F876" s="35" t="s">
        <v>339</v>
      </c>
      <c r="I876" s="30" t="s">
        <v>333</v>
      </c>
      <c r="J876" s="30">
        <v>1</v>
      </c>
      <c r="K876" s="30" t="s">
        <v>35</v>
      </c>
      <c r="L876" s="30" t="s">
        <v>107</v>
      </c>
      <c r="M876" s="30" t="s">
        <v>325</v>
      </c>
      <c r="T876"/>
    </row>
    <row r="877" spans="4:20" ht="15" customHeight="1">
      <c r="D877" s="30" t="s">
        <v>695</v>
      </c>
      <c r="E877" s="30" t="s">
        <v>322</v>
      </c>
      <c r="G877" s="35" t="s">
        <v>519</v>
      </c>
      <c r="H877" s="35" t="s">
        <v>576</v>
      </c>
      <c r="I877" s="30" t="s">
        <v>48</v>
      </c>
      <c r="J877" s="30">
        <v>2</v>
      </c>
      <c r="K877" s="30" t="s">
        <v>35</v>
      </c>
      <c r="L877" s="30" t="s">
        <v>324</v>
      </c>
      <c r="M877" s="30" t="s">
        <v>325</v>
      </c>
      <c r="T877"/>
    </row>
    <row r="878" spans="4:20" ht="15" customHeight="1">
      <c r="D878" s="30" t="s">
        <v>695</v>
      </c>
      <c r="E878" s="30" t="s">
        <v>45</v>
      </c>
      <c r="G878" s="35" t="s">
        <v>378</v>
      </c>
      <c r="H878" s="35" t="s">
        <v>357</v>
      </c>
      <c r="I878" s="30" t="s">
        <v>48</v>
      </c>
      <c r="J878" s="30">
        <v>2</v>
      </c>
      <c r="K878" s="30" t="s">
        <v>35</v>
      </c>
      <c r="L878" s="30" t="s">
        <v>358</v>
      </c>
      <c r="M878" s="30" t="s">
        <v>325</v>
      </c>
      <c r="T878"/>
    </row>
    <row r="879" spans="4:20" ht="15" customHeight="1">
      <c r="D879" s="30" t="s">
        <v>695</v>
      </c>
      <c r="E879" s="30" t="s">
        <v>331</v>
      </c>
      <c r="F879" s="35" t="s">
        <v>345</v>
      </c>
      <c r="I879" s="30" t="s">
        <v>333</v>
      </c>
      <c r="J879" s="30">
        <v>1</v>
      </c>
      <c r="K879" s="30" t="s">
        <v>35</v>
      </c>
      <c r="L879" s="30" t="s">
        <v>107</v>
      </c>
      <c r="M879" s="30" t="s">
        <v>325</v>
      </c>
      <c r="T879"/>
    </row>
    <row r="880" spans="4:20" ht="15" customHeight="1">
      <c r="D880" s="30" t="s">
        <v>695</v>
      </c>
      <c r="E880" s="30" t="s">
        <v>353</v>
      </c>
      <c r="F880" s="35" t="s">
        <v>354</v>
      </c>
      <c r="I880" s="30" t="s">
        <v>355</v>
      </c>
      <c r="J880" s="30" t="s">
        <v>352</v>
      </c>
      <c r="K880" s="30" t="s">
        <v>35</v>
      </c>
      <c r="L880" s="30" t="s">
        <v>107</v>
      </c>
      <c r="M880" s="30" t="s">
        <v>325</v>
      </c>
      <c r="T880"/>
    </row>
    <row r="881" spans="4:20" ht="15" customHeight="1">
      <c r="D881" s="30" t="s">
        <v>695</v>
      </c>
      <c r="E881" s="30" t="s">
        <v>326</v>
      </c>
      <c r="G881" s="35" t="s">
        <v>581</v>
      </c>
      <c r="H881" s="35" t="s">
        <v>395</v>
      </c>
      <c r="I881" s="30" t="s">
        <v>329</v>
      </c>
      <c r="J881" s="30">
        <v>2</v>
      </c>
      <c r="K881" s="30" t="s">
        <v>35</v>
      </c>
      <c r="L881" s="30" t="s">
        <v>330</v>
      </c>
      <c r="M881" s="30" t="s">
        <v>325</v>
      </c>
      <c r="T881"/>
    </row>
    <row r="882" spans="4:20" ht="15" customHeight="1">
      <c r="D882" s="30" t="s">
        <v>695</v>
      </c>
      <c r="E882" s="30" t="s">
        <v>349</v>
      </c>
      <c r="F882" s="35" t="s">
        <v>696</v>
      </c>
      <c r="I882" s="30" t="s">
        <v>351</v>
      </c>
      <c r="J882" s="30" t="s">
        <v>352</v>
      </c>
      <c r="K882" s="30" t="s">
        <v>35</v>
      </c>
      <c r="L882" s="30" t="s">
        <v>324</v>
      </c>
      <c r="M882" s="30" t="s">
        <v>325</v>
      </c>
      <c r="T882"/>
    </row>
    <row r="883" spans="4:20" ht="15" customHeight="1">
      <c r="D883" s="30" t="s">
        <v>628</v>
      </c>
      <c r="E883" s="30" t="s">
        <v>46</v>
      </c>
      <c r="F883" s="35" t="s">
        <v>335</v>
      </c>
      <c r="I883" s="30" t="s">
        <v>333</v>
      </c>
      <c r="J883" s="30">
        <v>1</v>
      </c>
      <c r="K883" s="30" t="s">
        <v>35</v>
      </c>
      <c r="L883" s="30" t="s">
        <v>336</v>
      </c>
      <c r="M883" s="30" t="s">
        <v>325</v>
      </c>
      <c r="T883"/>
    </row>
    <row r="884" spans="4:20" ht="15" customHeight="1">
      <c r="D884" s="30" t="s">
        <v>628</v>
      </c>
      <c r="E884" s="30" t="s">
        <v>337</v>
      </c>
      <c r="F884" s="35" t="s">
        <v>381</v>
      </c>
      <c r="I884" s="30" t="s">
        <v>333</v>
      </c>
      <c r="J884" s="30">
        <v>1</v>
      </c>
      <c r="K884" s="30" t="s">
        <v>35</v>
      </c>
      <c r="L884" s="30" t="s">
        <v>336</v>
      </c>
      <c r="M884" s="30" t="s">
        <v>325</v>
      </c>
      <c r="T884"/>
    </row>
    <row r="885" spans="4:20" ht="15" customHeight="1">
      <c r="D885" s="30" t="s">
        <v>628</v>
      </c>
      <c r="E885" s="30" t="s">
        <v>334</v>
      </c>
      <c r="F885" s="35" t="s">
        <v>335</v>
      </c>
      <c r="I885" s="30" t="s">
        <v>333</v>
      </c>
      <c r="J885" s="30">
        <v>1</v>
      </c>
      <c r="K885" s="30" t="s">
        <v>35</v>
      </c>
      <c r="L885" s="30" t="s">
        <v>336</v>
      </c>
      <c r="M885" s="30" t="s">
        <v>325</v>
      </c>
      <c r="T885"/>
    </row>
    <row r="886" spans="4:20" ht="15" customHeight="1">
      <c r="D886" s="30" t="s">
        <v>628</v>
      </c>
      <c r="E886" s="30" t="s">
        <v>338</v>
      </c>
      <c r="F886" s="35" t="s">
        <v>339</v>
      </c>
      <c r="I886" s="30" t="s">
        <v>333</v>
      </c>
      <c r="J886" s="30">
        <v>1</v>
      </c>
      <c r="K886" s="30" t="s">
        <v>35</v>
      </c>
      <c r="L886" s="30" t="s">
        <v>107</v>
      </c>
      <c r="M886" s="30" t="s">
        <v>325</v>
      </c>
      <c r="T886"/>
    </row>
    <row r="887" spans="4:20" ht="15" customHeight="1">
      <c r="D887" s="30" t="s">
        <v>628</v>
      </c>
      <c r="E887" s="30" t="s">
        <v>322</v>
      </c>
      <c r="G887" s="35" t="s">
        <v>341</v>
      </c>
      <c r="H887" s="35" t="s">
        <v>394</v>
      </c>
      <c r="I887" s="30" t="s">
        <v>48</v>
      </c>
      <c r="J887" s="30">
        <v>2</v>
      </c>
      <c r="K887" s="30" t="s">
        <v>35</v>
      </c>
      <c r="L887" s="30" t="s">
        <v>324</v>
      </c>
      <c r="M887" s="30" t="s">
        <v>325</v>
      </c>
      <c r="T887"/>
    </row>
    <row r="888" spans="4:20" ht="15" customHeight="1">
      <c r="D888" s="30" t="s">
        <v>628</v>
      </c>
      <c r="E888" s="30" t="s">
        <v>45</v>
      </c>
      <c r="G888" s="35" t="s">
        <v>403</v>
      </c>
      <c r="H888" s="35" t="s">
        <v>398</v>
      </c>
      <c r="I888" s="30" t="s">
        <v>48</v>
      </c>
      <c r="J888" s="30">
        <v>2</v>
      </c>
      <c r="K888" s="30" t="s">
        <v>35</v>
      </c>
      <c r="L888" s="30" t="s">
        <v>358</v>
      </c>
      <c r="M888" s="30" t="s">
        <v>325</v>
      </c>
      <c r="T888"/>
    </row>
    <row r="889" spans="4:20" ht="15" customHeight="1">
      <c r="D889" s="30" t="s">
        <v>628</v>
      </c>
      <c r="E889" s="30" t="s">
        <v>331</v>
      </c>
      <c r="F889" s="35" t="s">
        <v>345</v>
      </c>
      <c r="I889" s="30" t="s">
        <v>333</v>
      </c>
      <c r="J889" s="30">
        <v>1</v>
      </c>
      <c r="K889" s="30" t="s">
        <v>35</v>
      </c>
      <c r="L889" s="30" t="s">
        <v>107</v>
      </c>
      <c r="M889" s="30" t="s">
        <v>325</v>
      </c>
      <c r="T889"/>
    </row>
    <row r="890" spans="4:20" ht="15" customHeight="1">
      <c r="D890" s="30" t="s">
        <v>628</v>
      </c>
      <c r="E890" s="30" t="s">
        <v>353</v>
      </c>
      <c r="F890" s="35" t="s">
        <v>354</v>
      </c>
      <c r="I890" s="30" t="s">
        <v>355</v>
      </c>
      <c r="J890" s="30" t="s">
        <v>352</v>
      </c>
      <c r="K890" s="30" t="s">
        <v>35</v>
      </c>
      <c r="L890" s="30" t="s">
        <v>107</v>
      </c>
      <c r="M890" s="30" t="s">
        <v>325</v>
      </c>
      <c r="T890"/>
    </row>
    <row r="891" spans="4:20" ht="15" customHeight="1">
      <c r="D891" s="30" t="s">
        <v>628</v>
      </c>
      <c r="E891" s="30" t="s">
        <v>326</v>
      </c>
      <c r="G891" s="35" t="s">
        <v>343</v>
      </c>
      <c r="H891" s="35" t="s">
        <v>405</v>
      </c>
      <c r="I891" s="30" t="s">
        <v>329</v>
      </c>
      <c r="J891" s="30">
        <v>2</v>
      </c>
      <c r="K891" s="30" t="s">
        <v>35</v>
      </c>
      <c r="L891" s="30" t="s">
        <v>330</v>
      </c>
      <c r="M891" s="30" t="s">
        <v>325</v>
      </c>
      <c r="T891"/>
    </row>
    <row r="892" spans="4:20" ht="15" customHeight="1">
      <c r="D892" s="30" t="s">
        <v>628</v>
      </c>
      <c r="E892" s="30" t="s">
        <v>349</v>
      </c>
      <c r="F892" s="35" t="s">
        <v>629</v>
      </c>
      <c r="I892" s="30" t="s">
        <v>351</v>
      </c>
      <c r="J892" s="30" t="s">
        <v>352</v>
      </c>
      <c r="K892" s="30" t="s">
        <v>35</v>
      </c>
      <c r="L892" s="30" t="s">
        <v>324</v>
      </c>
      <c r="M892" s="30" t="s">
        <v>325</v>
      </c>
      <c r="T892"/>
    </row>
    <row r="893" spans="4:20" ht="15" customHeight="1">
      <c r="D893" s="30" t="s">
        <v>545</v>
      </c>
      <c r="E893" s="30" t="s">
        <v>46</v>
      </c>
      <c r="F893" s="35" t="s">
        <v>335</v>
      </c>
      <c r="I893" s="30" t="s">
        <v>333</v>
      </c>
      <c r="J893" s="30">
        <v>1</v>
      </c>
      <c r="K893" s="30" t="s">
        <v>35</v>
      </c>
      <c r="L893" s="30" t="s">
        <v>336</v>
      </c>
      <c r="M893" s="30" t="s">
        <v>325</v>
      </c>
      <c r="T893"/>
    </row>
    <row r="894" spans="4:20" ht="15" customHeight="1">
      <c r="D894" s="30" t="s">
        <v>545</v>
      </c>
      <c r="E894" s="30" t="s">
        <v>337</v>
      </c>
      <c r="F894" s="35" t="s">
        <v>387</v>
      </c>
      <c r="I894" s="30" t="s">
        <v>333</v>
      </c>
      <c r="J894" s="30">
        <v>1</v>
      </c>
      <c r="K894" s="30" t="s">
        <v>35</v>
      </c>
      <c r="L894" s="30" t="s">
        <v>336</v>
      </c>
      <c r="M894" s="30" t="s">
        <v>325</v>
      </c>
      <c r="T894"/>
    </row>
    <row r="895" spans="4:20" ht="15" customHeight="1">
      <c r="D895" s="30" t="s">
        <v>545</v>
      </c>
      <c r="E895" s="30" t="s">
        <v>334</v>
      </c>
      <c r="H895" s="35" t="s">
        <v>386</v>
      </c>
      <c r="I895" s="30" t="s">
        <v>333</v>
      </c>
      <c r="J895" s="30">
        <v>1</v>
      </c>
      <c r="K895" s="30" t="s">
        <v>35</v>
      </c>
      <c r="L895" s="30" t="s">
        <v>336</v>
      </c>
      <c r="M895" s="30" t="s">
        <v>325</v>
      </c>
      <c r="T895"/>
    </row>
    <row r="896" spans="4:20" ht="15" customHeight="1">
      <c r="D896" s="30" t="s">
        <v>545</v>
      </c>
      <c r="E896" s="30" t="s">
        <v>338</v>
      </c>
      <c r="F896" s="35" t="s">
        <v>339</v>
      </c>
      <c r="I896" s="30" t="s">
        <v>333</v>
      </c>
      <c r="J896" s="30">
        <v>1</v>
      </c>
      <c r="K896" s="30" t="s">
        <v>35</v>
      </c>
      <c r="L896" s="30" t="s">
        <v>107</v>
      </c>
      <c r="M896" s="30" t="s">
        <v>325</v>
      </c>
      <c r="T896"/>
    </row>
    <row r="897" spans="4:20" ht="15" customHeight="1">
      <c r="D897" s="30" t="s">
        <v>545</v>
      </c>
      <c r="E897" s="30" t="s">
        <v>322</v>
      </c>
      <c r="G897" s="35" t="s">
        <v>371</v>
      </c>
      <c r="H897" s="35" t="s">
        <v>475</v>
      </c>
      <c r="I897" s="30" t="s">
        <v>48</v>
      </c>
      <c r="J897" s="30">
        <v>2</v>
      </c>
      <c r="K897" s="30" t="s">
        <v>35</v>
      </c>
      <c r="L897" s="30" t="s">
        <v>324</v>
      </c>
      <c r="M897" s="30" t="s">
        <v>325</v>
      </c>
      <c r="T897"/>
    </row>
    <row r="898" spans="4:20" ht="15" customHeight="1">
      <c r="D898" s="30" t="s">
        <v>545</v>
      </c>
      <c r="E898" s="30" t="s">
        <v>45</v>
      </c>
      <c r="G898" s="35" t="s">
        <v>364</v>
      </c>
      <c r="H898" s="35" t="s">
        <v>365</v>
      </c>
      <c r="I898" s="30" t="s">
        <v>48</v>
      </c>
      <c r="J898" s="30">
        <v>2</v>
      </c>
      <c r="K898" s="30" t="s">
        <v>35</v>
      </c>
      <c r="L898" s="30" t="s">
        <v>358</v>
      </c>
      <c r="M898" s="30" t="s">
        <v>325</v>
      </c>
      <c r="T898"/>
    </row>
    <row r="899" spans="4:20" ht="15" customHeight="1">
      <c r="D899" s="30" t="s">
        <v>545</v>
      </c>
      <c r="E899" s="30" t="s">
        <v>331</v>
      </c>
      <c r="F899" s="35" t="s">
        <v>345</v>
      </c>
      <c r="I899" s="30" t="s">
        <v>333</v>
      </c>
      <c r="J899" s="30">
        <v>1</v>
      </c>
      <c r="K899" s="30" t="s">
        <v>35</v>
      </c>
      <c r="L899" s="30" t="s">
        <v>107</v>
      </c>
      <c r="M899" s="30" t="s">
        <v>325</v>
      </c>
      <c r="T899"/>
    </row>
    <row r="900" spans="4:20" ht="15" customHeight="1">
      <c r="D900" s="30" t="s">
        <v>545</v>
      </c>
      <c r="E900" s="30" t="s">
        <v>353</v>
      </c>
      <c r="F900" s="35" t="s">
        <v>354</v>
      </c>
      <c r="I900" s="30" t="s">
        <v>355</v>
      </c>
      <c r="J900" s="30" t="s">
        <v>352</v>
      </c>
      <c r="K900" s="30" t="s">
        <v>35</v>
      </c>
      <c r="L900" s="30" t="s">
        <v>107</v>
      </c>
      <c r="M900" s="30" t="s">
        <v>325</v>
      </c>
      <c r="T900"/>
    </row>
    <row r="901" spans="4:20" ht="15" customHeight="1">
      <c r="D901" s="30" t="s">
        <v>545</v>
      </c>
      <c r="E901" s="30" t="s">
        <v>326</v>
      </c>
      <c r="G901" s="35" t="s">
        <v>427</v>
      </c>
      <c r="H901" s="35" t="s">
        <v>546</v>
      </c>
      <c r="I901" s="30" t="s">
        <v>329</v>
      </c>
      <c r="J901" s="30">
        <v>2</v>
      </c>
      <c r="K901" s="30" t="s">
        <v>35</v>
      </c>
      <c r="L901" s="30" t="s">
        <v>330</v>
      </c>
      <c r="M901" s="30" t="s">
        <v>325</v>
      </c>
      <c r="T901"/>
    </row>
    <row r="902" spans="4:20" ht="15" customHeight="1">
      <c r="D902" s="30" t="s">
        <v>545</v>
      </c>
      <c r="E902" s="30" t="s">
        <v>349</v>
      </c>
      <c r="F902" s="35" t="s">
        <v>547</v>
      </c>
      <c r="I902" s="30" t="s">
        <v>351</v>
      </c>
      <c r="J902" s="30" t="s">
        <v>352</v>
      </c>
      <c r="K902" s="30" t="s">
        <v>35</v>
      </c>
      <c r="L902" s="30" t="s">
        <v>324</v>
      </c>
      <c r="M902" s="30" t="s">
        <v>325</v>
      </c>
      <c r="T902"/>
    </row>
    <row r="903" spans="4:20" ht="15" customHeight="1">
      <c r="D903" s="30" t="s">
        <v>383</v>
      </c>
      <c r="E903" s="30" t="s">
        <v>46</v>
      </c>
      <c r="F903" s="35" t="s">
        <v>335</v>
      </c>
      <c r="I903" s="30" t="s">
        <v>333</v>
      </c>
      <c r="J903" s="30">
        <v>1</v>
      </c>
      <c r="K903" s="30" t="s">
        <v>35</v>
      </c>
      <c r="L903" s="30" t="s">
        <v>336</v>
      </c>
      <c r="M903" s="30" t="s">
        <v>325</v>
      </c>
      <c r="T903"/>
    </row>
    <row r="904" spans="4:20" ht="15" customHeight="1">
      <c r="D904" s="30" t="s">
        <v>383</v>
      </c>
      <c r="E904" s="30" t="s">
        <v>337</v>
      </c>
      <c r="F904" s="35" t="s">
        <v>387</v>
      </c>
      <c r="I904" s="30" t="s">
        <v>333</v>
      </c>
      <c r="J904" s="30">
        <v>1</v>
      </c>
      <c r="K904" s="30" t="s">
        <v>35</v>
      </c>
      <c r="L904" s="30" t="s">
        <v>336</v>
      </c>
      <c r="M904" s="30" t="s">
        <v>325</v>
      </c>
      <c r="T904"/>
    </row>
    <row r="905" spans="4:20" ht="15" customHeight="1">
      <c r="D905" s="30" t="s">
        <v>383</v>
      </c>
      <c r="E905" s="30" t="s">
        <v>334</v>
      </c>
      <c r="H905" s="35" t="s">
        <v>386</v>
      </c>
      <c r="I905" s="30" t="s">
        <v>333</v>
      </c>
      <c r="J905" s="30">
        <v>1</v>
      </c>
      <c r="K905" s="30" t="s">
        <v>35</v>
      </c>
      <c r="L905" s="30" t="s">
        <v>336</v>
      </c>
      <c r="M905" s="30" t="s">
        <v>325</v>
      </c>
      <c r="T905"/>
    </row>
    <row r="906" spans="4:20" ht="15" customHeight="1">
      <c r="D906" s="30" t="s">
        <v>383</v>
      </c>
      <c r="E906" s="30" t="s">
        <v>338</v>
      </c>
      <c r="F906" s="35" t="s">
        <v>339</v>
      </c>
      <c r="I906" s="30" t="s">
        <v>333</v>
      </c>
      <c r="J906" s="30">
        <v>1</v>
      </c>
      <c r="K906" s="30" t="s">
        <v>35</v>
      </c>
      <c r="L906" s="30" t="s">
        <v>107</v>
      </c>
      <c r="M906" s="30" t="s">
        <v>325</v>
      </c>
      <c r="T906"/>
    </row>
    <row r="907" spans="4:20" ht="15" customHeight="1">
      <c r="D907" s="30" t="s">
        <v>383</v>
      </c>
      <c r="E907" s="30" t="s">
        <v>322</v>
      </c>
      <c r="G907" s="35" t="s">
        <v>362</v>
      </c>
      <c r="H907" s="35" t="s">
        <v>384</v>
      </c>
      <c r="I907" s="30" t="s">
        <v>48</v>
      </c>
      <c r="J907" s="30">
        <v>2</v>
      </c>
      <c r="K907" s="30" t="s">
        <v>35</v>
      </c>
      <c r="L907" s="30" t="s">
        <v>324</v>
      </c>
      <c r="M907" s="30" t="s">
        <v>325</v>
      </c>
      <c r="T907"/>
    </row>
    <row r="908" spans="4:20" ht="15" customHeight="1">
      <c r="D908" s="30" t="s">
        <v>383</v>
      </c>
      <c r="E908" s="30" t="s">
        <v>45</v>
      </c>
      <c r="G908" s="35" t="s">
        <v>364</v>
      </c>
      <c r="H908" s="35" t="s">
        <v>365</v>
      </c>
      <c r="I908" s="30" t="s">
        <v>48</v>
      </c>
      <c r="J908" s="30">
        <v>2</v>
      </c>
      <c r="K908" s="30" t="s">
        <v>35</v>
      </c>
      <c r="L908" s="30" t="s">
        <v>358</v>
      </c>
      <c r="M908" s="30" t="s">
        <v>325</v>
      </c>
      <c r="T908"/>
    </row>
    <row r="909" spans="4:20" ht="15" customHeight="1">
      <c r="D909" s="30" t="s">
        <v>383</v>
      </c>
      <c r="E909" s="30" t="s">
        <v>331</v>
      </c>
      <c r="F909" s="35" t="s">
        <v>345</v>
      </c>
      <c r="I909" s="30" t="s">
        <v>333</v>
      </c>
      <c r="J909" s="30">
        <v>1</v>
      </c>
      <c r="K909" s="30" t="s">
        <v>35</v>
      </c>
      <c r="L909" s="30" t="s">
        <v>107</v>
      </c>
      <c r="M909" s="30" t="s">
        <v>325</v>
      </c>
      <c r="T909"/>
    </row>
    <row r="910" spans="4:20" ht="15" customHeight="1">
      <c r="D910" s="30" t="s">
        <v>383</v>
      </c>
      <c r="E910" s="30" t="s">
        <v>326</v>
      </c>
      <c r="G910" s="35" t="s">
        <v>366</v>
      </c>
      <c r="H910" s="35" t="s">
        <v>385</v>
      </c>
      <c r="I910" s="30" t="s">
        <v>329</v>
      </c>
      <c r="J910" s="30">
        <v>2</v>
      </c>
      <c r="K910" s="30" t="s">
        <v>35</v>
      </c>
      <c r="L910" s="30" t="s">
        <v>330</v>
      </c>
      <c r="M910" s="30" t="s">
        <v>325</v>
      </c>
      <c r="T910"/>
    </row>
    <row r="911" spans="4:20" ht="15" customHeight="1">
      <c r="D911" s="30" t="s">
        <v>383</v>
      </c>
      <c r="E911" s="30" t="s">
        <v>349</v>
      </c>
      <c r="F911" s="35" t="s">
        <v>388</v>
      </c>
      <c r="I911" s="30" t="s">
        <v>351</v>
      </c>
      <c r="J911" s="30" t="s">
        <v>352</v>
      </c>
      <c r="K911" s="30" t="s">
        <v>35</v>
      </c>
      <c r="L911" s="30" t="s">
        <v>324</v>
      </c>
      <c r="M911" s="30" t="s">
        <v>325</v>
      </c>
      <c r="T911"/>
    </row>
    <row r="912" spans="4:20" ht="15" customHeight="1">
      <c r="D912" s="30" t="s">
        <v>518</v>
      </c>
      <c r="E912" s="30" t="s">
        <v>46</v>
      </c>
      <c r="F912" s="35" t="s">
        <v>335</v>
      </c>
      <c r="I912" s="30" t="s">
        <v>333</v>
      </c>
      <c r="J912" s="30">
        <v>1</v>
      </c>
      <c r="K912" s="30" t="s">
        <v>35</v>
      </c>
      <c r="L912" s="30" t="s">
        <v>336</v>
      </c>
      <c r="M912" s="30" t="s">
        <v>325</v>
      </c>
      <c r="T912"/>
    </row>
    <row r="913" spans="4:20" ht="15" customHeight="1">
      <c r="D913" s="30" t="s">
        <v>518</v>
      </c>
      <c r="E913" s="30" t="s">
        <v>337</v>
      </c>
      <c r="F913" s="35" t="s">
        <v>387</v>
      </c>
      <c r="I913" s="30" t="s">
        <v>333</v>
      </c>
      <c r="J913" s="30">
        <v>1</v>
      </c>
      <c r="K913" s="30" t="s">
        <v>35</v>
      </c>
      <c r="L913" s="30" t="s">
        <v>336</v>
      </c>
      <c r="M913" s="30" t="s">
        <v>325</v>
      </c>
      <c r="T913"/>
    </row>
    <row r="914" spans="4:20" ht="15" customHeight="1">
      <c r="D914" s="30" t="s">
        <v>518</v>
      </c>
      <c r="E914" s="30" t="s">
        <v>334</v>
      </c>
      <c r="F914" s="35" t="s">
        <v>335</v>
      </c>
      <c r="I914" s="30" t="s">
        <v>333</v>
      </c>
      <c r="J914" s="30">
        <v>1</v>
      </c>
      <c r="K914" s="30" t="s">
        <v>35</v>
      </c>
      <c r="L914" s="30" t="s">
        <v>336</v>
      </c>
      <c r="M914" s="30" t="s">
        <v>325</v>
      </c>
      <c r="T914"/>
    </row>
    <row r="915" spans="4:20" ht="15" customHeight="1">
      <c r="D915" s="30" t="s">
        <v>518</v>
      </c>
      <c r="E915" s="30" t="s">
        <v>338</v>
      </c>
      <c r="F915" s="35" t="s">
        <v>339</v>
      </c>
      <c r="I915" s="30" t="s">
        <v>333</v>
      </c>
      <c r="J915" s="30">
        <v>1</v>
      </c>
      <c r="K915" s="30" t="s">
        <v>35</v>
      </c>
      <c r="L915" s="30" t="s">
        <v>107</v>
      </c>
      <c r="M915" s="30" t="s">
        <v>325</v>
      </c>
      <c r="T915"/>
    </row>
    <row r="916" spans="4:20" ht="15" customHeight="1">
      <c r="D916" s="30" t="s">
        <v>518</v>
      </c>
      <c r="E916" s="30" t="s">
        <v>322</v>
      </c>
      <c r="G916" s="35" t="s">
        <v>519</v>
      </c>
      <c r="H916" s="35" t="s">
        <v>479</v>
      </c>
      <c r="I916" s="30" t="s">
        <v>48</v>
      </c>
      <c r="J916" s="30">
        <v>2</v>
      </c>
      <c r="K916" s="30" t="s">
        <v>35</v>
      </c>
      <c r="L916" s="30" t="s">
        <v>324</v>
      </c>
      <c r="M916" s="30" t="s">
        <v>325</v>
      </c>
      <c r="T916"/>
    </row>
    <row r="917" spans="4:20" ht="15" customHeight="1">
      <c r="D917" s="30" t="s">
        <v>518</v>
      </c>
      <c r="E917" s="30" t="s">
        <v>45</v>
      </c>
      <c r="G917" s="35" t="s">
        <v>449</v>
      </c>
      <c r="H917" s="35" t="s">
        <v>479</v>
      </c>
      <c r="I917" s="30" t="s">
        <v>48</v>
      </c>
      <c r="J917" s="30">
        <v>2</v>
      </c>
      <c r="K917" s="30" t="s">
        <v>35</v>
      </c>
      <c r="L917" s="30" t="s">
        <v>324</v>
      </c>
      <c r="M917" s="30" t="s">
        <v>325</v>
      </c>
      <c r="T917"/>
    </row>
    <row r="918" spans="4:20" ht="15" customHeight="1">
      <c r="D918" s="30" t="s">
        <v>518</v>
      </c>
      <c r="E918" s="30" t="s">
        <v>331</v>
      </c>
      <c r="F918" s="35" t="s">
        <v>345</v>
      </c>
      <c r="I918" s="30" t="s">
        <v>333</v>
      </c>
      <c r="J918" s="30">
        <v>1</v>
      </c>
      <c r="K918" s="30" t="s">
        <v>35</v>
      </c>
      <c r="L918" s="30" t="s">
        <v>107</v>
      </c>
      <c r="M918" s="30" t="s">
        <v>325</v>
      </c>
      <c r="T918"/>
    </row>
    <row r="919" spans="4:20" ht="15" customHeight="1">
      <c r="D919" s="30" t="s">
        <v>518</v>
      </c>
      <c r="E919" s="30" t="s">
        <v>353</v>
      </c>
      <c r="F919" s="35" t="s">
        <v>354</v>
      </c>
      <c r="I919" s="30" t="s">
        <v>355</v>
      </c>
      <c r="J919" s="30" t="s">
        <v>352</v>
      </c>
      <c r="K919" s="30" t="s">
        <v>35</v>
      </c>
      <c r="L919" s="30" t="s">
        <v>107</v>
      </c>
      <c r="M919" s="30" t="s">
        <v>325</v>
      </c>
      <c r="T919"/>
    </row>
    <row r="920" spans="4:20" ht="15" customHeight="1">
      <c r="D920" s="30" t="s">
        <v>518</v>
      </c>
      <c r="E920" s="30" t="s">
        <v>326</v>
      </c>
      <c r="G920" s="35" t="s">
        <v>471</v>
      </c>
      <c r="I920" s="30" t="s">
        <v>329</v>
      </c>
      <c r="J920" s="30">
        <v>2</v>
      </c>
      <c r="K920" s="30" t="s">
        <v>35</v>
      </c>
      <c r="L920" s="30" t="s">
        <v>459</v>
      </c>
      <c r="M920" s="30" t="s">
        <v>325</v>
      </c>
      <c r="T920"/>
    </row>
    <row r="921" spans="4:20" ht="14.25" customHeight="1">
      <c r="D921" s="30" t="s">
        <v>518</v>
      </c>
      <c r="E921" s="30" t="s">
        <v>349</v>
      </c>
      <c r="F921" s="35" t="s">
        <v>520</v>
      </c>
      <c r="I921" s="30" t="s">
        <v>351</v>
      </c>
      <c r="J921" s="30" t="s">
        <v>352</v>
      </c>
      <c r="K921" s="30" t="s">
        <v>35</v>
      </c>
      <c r="L921" s="30" t="s">
        <v>324</v>
      </c>
      <c r="M921" s="30" t="s">
        <v>325</v>
      </c>
      <c r="T921"/>
    </row>
    <row r="922" spans="4:20" ht="14.25" customHeight="1">
      <c r="D922" s="30" t="s">
        <v>559</v>
      </c>
      <c r="E922" s="30" t="s">
        <v>46</v>
      </c>
      <c r="F922" s="35" t="s">
        <v>335</v>
      </c>
      <c r="I922" s="30" t="s">
        <v>333</v>
      </c>
      <c r="J922" s="30">
        <v>1</v>
      </c>
      <c r="K922" s="30" t="s">
        <v>35</v>
      </c>
      <c r="L922" s="30" t="s">
        <v>336</v>
      </c>
      <c r="M922" s="30" t="s">
        <v>325</v>
      </c>
      <c r="T922"/>
    </row>
    <row r="923" spans="4:20" ht="14.25" customHeight="1">
      <c r="D923" s="30" t="s">
        <v>559</v>
      </c>
      <c r="E923" s="30" t="s">
        <v>337</v>
      </c>
      <c r="F923" s="35" t="s">
        <v>368</v>
      </c>
      <c r="I923" s="30" t="s">
        <v>333</v>
      </c>
      <c r="J923" s="30">
        <v>1</v>
      </c>
      <c r="K923" s="30" t="s">
        <v>35</v>
      </c>
      <c r="L923" s="30" t="s">
        <v>336</v>
      </c>
      <c r="M923" s="30" t="s">
        <v>325</v>
      </c>
      <c r="T923"/>
    </row>
    <row r="924" spans="4:20" ht="15" customHeight="1">
      <c r="D924" s="30" t="s">
        <v>559</v>
      </c>
      <c r="E924" s="30" t="s">
        <v>334</v>
      </c>
      <c r="H924" s="35" t="s">
        <v>386</v>
      </c>
      <c r="I924" s="30" t="s">
        <v>333</v>
      </c>
      <c r="J924" s="30">
        <v>1</v>
      </c>
      <c r="K924" s="30" t="s">
        <v>35</v>
      </c>
      <c r="L924" s="30" t="s">
        <v>336</v>
      </c>
      <c r="M924" s="30" t="s">
        <v>325</v>
      </c>
      <c r="T924"/>
    </row>
    <row r="925" spans="4:20" ht="15" customHeight="1">
      <c r="D925" s="30" t="s">
        <v>559</v>
      </c>
      <c r="E925" s="30" t="s">
        <v>338</v>
      </c>
      <c r="F925" s="35" t="s">
        <v>339</v>
      </c>
      <c r="I925" s="30" t="s">
        <v>333</v>
      </c>
      <c r="J925" s="30">
        <v>1</v>
      </c>
      <c r="K925" s="30" t="s">
        <v>35</v>
      </c>
      <c r="L925" s="30" t="s">
        <v>107</v>
      </c>
      <c r="M925" s="30" t="s">
        <v>325</v>
      </c>
      <c r="T925"/>
    </row>
    <row r="926" spans="4:20" ht="15" customHeight="1">
      <c r="D926" s="30" t="s">
        <v>559</v>
      </c>
      <c r="E926" s="30" t="s">
        <v>322</v>
      </c>
      <c r="G926" s="35" t="s">
        <v>479</v>
      </c>
      <c r="H926" s="35" t="s">
        <v>437</v>
      </c>
      <c r="I926" s="30" t="s">
        <v>48</v>
      </c>
      <c r="J926" s="30">
        <v>2</v>
      </c>
      <c r="K926" s="30" t="s">
        <v>35</v>
      </c>
      <c r="L926" s="30" t="s">
        <v>324</v>
      </c>
      <c r="M926" s="30" t="s">
        <v>325</v>
      </c>
      <c r="T926"/>
    </row>
    <row r="927" spans="4:20" ht="15" customHeight="1">
      <c r="D927" s="30" t="s">
        <v>559</v>
      </c>
      <c r="E927" s="30" t="s">
        <v>45</v>
      </c>
      <c r="G927" s="35" t="s">
        <v>379</v>
      </c>
      <c r="H927" s="35" t="s">
        <v>398</v>
      </c>
      <c r="I927" s="30" t="s">
        <v>48</v>
      </c>
      <c r="J927" s="30">
        <v>2</v>
      </c>
      <c r="K927" s="30" t="s">
        <v>35</v>
      </c>
      <c r="L927" s="30" t="s">
        <v>358</v>
      </c>
      <c r="M927" s="30" t="s">
        <v>325</v>
      </c>
      <c r="T927"/>
    </row>
    <row r="928" spans="4:20" ht="15" customHeight="1">
      <c r="D928" s="30" t="s">
        <v>559</v>
      </c>
      <c r="E928" s="30" t="s">
        <v>331</v>
      </c>
      <c r="F928" s="35" t="s">
        <v>345</v>
      </c>
      <c r="I928" s="30" t="s">
        <v>333</v>
      </c>
      <c r="J928" s="30">
        <v>1</v>
      </c>
      <c r="K928" s="30" t="s">
        <v>35</v>
      </c>
      <c r="L928" s="30" t="s">
        <v>107</v>
      </c>
      <c r="M928" s="30" t="s">
        <v>325</v>
      </c>
      <c r="T928"/>
    </row>
    <row r="929" spans="4:20" ht="15" customHeight="1">
      <c r="D929" s="30" t="s">
        <v>559</v>
      </c>
      <c r="E929" s="30" t="s">
        <v>353</v>
      </c>
      <c r="F929" s="35" t="s">
        <v>354</v>
      </c>
      <c r="I929" s="30" t="s">
        <v>355</v>
      </c>
      <c r="J929" s="30" t="s">
        <v>352</v>
      </c>
      <c r="K929" s="30" t="s">
        <v>35</v>
      </c>
      <c r="L929" s="30" t="s">
        <v>107</v>
      </c>
      <c r="M929" s="30" t="s">
        <v>325</v>
      </c>
      <c r="T929"/>
    </row>
    <row r="930" spans="4:20" ht="15" customHeight="1">
      <c r="D930" s="30" t="s">
        <v>559</v>
      </c>
      <c r="E930" s="30" t="s">
        <v>349</v>
      </c>
      <c r="F930" s="35" t="s">
        <v>560</v>
      </c>
      <c r="I930" s="30" t="s">
        <v>351</v>
      </c>
      <c r="J930" s="30" t="s">
        <v>352</v>
      </c>
      <c r="K930" s="30" t="s">
        <v>35</v>
      </c>
      <c r="L930" s="30" t="s">
        <v>324</v>
      </c>
      <c r="M930" s="30" t="s">
        <v>325</v>
      </c>
      <c r="T930"/>
    </row>
    <row r="931" spans="4:20" ht="15" customHeight="1">
      <c r="D931" s="30" t="s">
        <v>613</v>
      </c>
      <c r="E931" s="30" t="s">
        <v>46</v>
      </c>
      <c r="F931" s="35" t="s">
        <v>335</v>
      </c>
      <c r="I931" s="30" t="s">
        <v>333</v>
      </c>
      <c r="J931" s="30">
        <v>1</v>
      </c>
      <c r="K931" s="30" t="s">
        <v>35</v>
      </c>
      <c r="L931" s="30" t="s">
        <v>336</v>
      </c>
      <c r="M931" s="30" t="s">
        <v>325</v>
      </c>
      <c r="T931"/>
    </row>
    <row r="932" spans="4:20" ht="15" customHeight="1">
      <c r="D932" s="30" t="s">
        <v>613</v>
      </c>
      <c r="E932" s="30" t="s">
        <v>337</v>
      </c>
      <c r="F932" s="35" t="s">
        <v>368</v>
      </c>
      <c r="I932" s="30" t="s">
        <v>333</v>
      </c>
      <c r="J932" s="30">
        <v>1</v>
      </c>
      <c r="K932" s="30" t="s">
        <v>35</v>
      </c>
      <c r="L932" s="30" t="s">
        <v>336</v>
      </c>
      <c r="M932" s="30" t="s">
        <v>325</v>
      </c>
      <c r="T932"/>
    </row>
    <row r="933" spans="4:20" ht="15" customHeight="1">
      <c r="D933" s="30" t="s">
        <v>613</v>
      </c>
      <c r="E933" s="30" t="s">
        <v>334</v>
      </c>
      <c r="F933" s="35" t="s">
        <v>335</v>
      </c>
      <c r="I933" s="30" t="s">
        <v>333</v>
      </c>
      <c r="J933" s="30">
        <v>1</v>
      </c>
      <c r="K933" s="30" t="s">
        <v>35</v>
      </c>
      <c r="L933" s="30" t="s">
        <v>336</v>
      </c>
      <c r="M933" s="30" t="s">
        <v>325</v>
      </c>
      <c r="T933"/>
    </row>
    <row r="934" spans="4:20" ht="15" customHeight="1">
      <c r="D934" s="30" t="s">
        <v>613</v>
      </c>
      <c r="E934" s="30" t="s">
        <v>338</v>
      </c>
      <c r="F934" s="35" t="s">
        <v>339</v>
      </c>
      <c r="I934" s="30" t="s">
        <v>333</v>
      </c>
      <c r="J934" s="30">
        <v>1</v>
      </c>
      <c r="K934" s="30" t="s">
        <v>35</v>
      </c>
      <c r="L934" s="30" t="s">
        <v>107</v>
      </c>
      <c r="M934" s="30" t="s">
        <v>325</v>
      </c>
      <c r="T934"/>
    </row>
    <row r="935" spans="4:20" ht="15" customHeight="1">
      <c r="D935" s="30" t="s">
        <v>613</v>
      </c>
      <c r="E935" s="30" t="s">
        <v>322</v>
      </c>
      <c r="G935" s="35" t="s">
        <v>425</v>
      </c>
      <c r="H935" s="35" t="s">
        <v>426</v>
      </c>
      <c r="I935" s="30" t="s">
        <v>48</v>
      </c>
      <c r="J935" s="30">
        <v>2</v>
      </c>
      <c r="K935" s="30" t="s">
        <v>35</v>
      </c>
      <c r="L935" s="30" t="s">
        <v>324</v>
      </c>
      <c r="M935" s="30" t="s">
        <v>325</v>
      </c>
      <c r="T935"/>
    </row>
    <row r="936" spans="4:20" ht="14.25" customHeight="1">
      <c r="D936" s="30" t="s">
        <v>613</v>
      </c>
      <c r="E936" s="30" t="s">
        <v>45</v>
      </c>
      <c r="G936" s="35" t="s">
        <v>364</v>
      </c>
      <c r="H936" s="35" t="s">
        <v>365</v>
      </c>
      <c r="I936" s="30" t="s">
        <v>48</v>
      </c>
      <c r="J936" s="30">
        <v>2</v>
      </c>
      <c r="K936" s="30" t="s">
        <v>35</v>
      </c>
      <c r="L936" s="30" t="s">
        <v>358</v>
      </c>
      <c r="M936" s="30" t="s">
        <v>325</v>
      </c>
      <c r="T936"/>
    </row>
    <row r="937" spans="4:20" ht="14.25" customHeight="1">
      <c r="D937" s="30" t="s">
        <v>613</v>
      </c>
      <c r="E937" s="30" t="s">
        <v>331</v>
      </c>
      <c r="F937" s="35" t="s">
        <v>345</v>
      </c>
      <c r="I937" s="30" t="s">
        <v>333</v>
      </c>
      <c r="J937" s="30">
        <v>1</v>
      </c>
      <c r="K937" s="30" t="s">
        <v>35</v>
      </c>
      <c r="L937" s="30" t="s">
        <v>107</v>
      </c>
      <c r="M937" s="30" t="s">
        <v>325</v>
      </c>
      <c r="T937"/>
    </row>
    <row r="938" spans="4:20" ht="15" customHeight="1">
      <c r="D938" s="30" t="s">
        <v>613</v>
      </c>
      <c r="E938" s="30" t="s">
        <v>353</v>
      </c>
      <c r="F938" s="35" t="s">
        <v>354</v>
      </c>
      <c r="I938" s="30" t="s">
        <v>355</v>
      </c>
      <c r="J938" s="30" t="s">
        <v>352</v>
      </c>
      <c r="K938" s="30" t="s">
        <v>35</v>
      </c>
      <c r="L938" s="30" t="s">
        <v>107</v>
      </c>
      <c r="M938" s="30" t="s">
        <v>325</v>
      </c>
      <c r="T938"/>
    </row>
    <row r="939" spans="4:20" ht="15" customHeight="1">
      <c r="D939" s="30" t="s">
        <v>613</v>
      </c>
      <c r="E939" s="30" t="s">
        <v>326</v>
      </c>
      <c r="G939" s="35" t="s">
        <v>366</v>
      </c>
      <c r="H939" s="35" t="s">
        <v>614</v>
      </c>
      <c r="I939" s="30" t="s">
        <v>329</v>
      </c>
      <c r="J939" s="30">
        <v>2</v>
      </c>
      <c r="K939" s="30" t="s">
        <v>35</v>
      </c>
      <c r="L939" s="30" t="s">
        <v>330</v>
      </c>
      <c r="M939" s="30" t="s">
        <v>325</v>
      </c>
      <c r="T939"/>
    </row>
    <row r="940" spans="4:20" ht="15" customHeight="1">
      <c r="D940" s="30" t="s">
        <v>613</v>
      </c>
      <c r="E940" s="30" t="s">
        <v>349</v>
      </c>
      <c r="F940" s="35" t="s">
        <v>429</v>
      </c>
      <c r="I940" s="30" t="s">
        <v>351</v>
      </c>
      <c r="J940" s="30" t="s">
        <v>352</v>
      </c>
      <c r="K940" s="30" t="s">
        <v>35</v>
      </c>
      <c r="L940" s="30" t="s">
        <v>324</v>
      </c>
      <c r="M940" s="30" t="s">
        <v>325</v>
      </c>
      <c r="T940"/>
    </row>
    <row r="941" spans="4:20" ht="15" customHeight="1">
      <c r="D941" s="30" t="s">
        <v>534</v>
      </c>
      <c r="E941" s="30" t="s">
        <v>46</v>
      </c>
      <c r="F941" s="35" t="s">
        <v>335</v>
      </c>
      <c r="I941" s="30" t="s">
        <v>333</v>
      </c>
      <c r="J941" s="30">
        <v>1</v>
      </c>
      <c r="K941" s="30" t="s">
        <v>35</v>
      </c>
      <c r="L941" s="30" t="s">
        <v>336</v>
      </c>
      <c r="M941" s="30" t="s">
        <v>325</v>
      </c>
      <c r="T941"/>
    </row>
    <row r="942" spans="4:20" ht="15" customHeight="1">
      <c r="D942" s="30" t="s">
        <v>534</v>
      </c>
      <c r="E942" s="30" t="s">
        <v>337</v>
      </c>
      <c r="F942" s="35" t="s">
        <v>387</v>
      </c>
      <c r="I942" s="30" t="s">
        <v>333</v>
      </c>
      <c r="J942" s="30">
        <v>1</v>
      </c>
      <c r="K942" s="30" t="s">
        <v>35</v>
      </c>
      <c r="L942" s="30" t="s">
        <v>336</v>
      </c>
      <c r="M942" s="30" t="s">
        <v>325</v>
      </c>
      <c r="T942"/>
    </row>
    <row r="943" spans="4:20" ht="15" customHeight="1">
      <c r="D943" s="30" t="s">
        <v>534</v>
      </c>
      <c r="E943" s="30" t="s">
        <v>334</v>
      </c>
      <c r="H943" s="35" t="s">
        <v>386</v>
      </c>
      <c r="I943" s="30" t="s">
        <v>333</v>
      </c>
      <c r="J943" s="30">
        <v>1</v>
      </c>
      <c r="K943" s="30" t="s">
        <v>35</v>
      </c>
      <c r="L943" s="30" t="s">
        <v>336</v>
      </c>
      <c r="M943" s="30" t="s">
        <v>325</v>
      </c>
      <c r="T943"/>
    </row>
    <row r="944" spans="4:20" ht="15" customHeight="1">
      <c r="D944" s="30" t="s">
        <v>534</v>
      </c>
      <c r="E944" s="30" t="s">
        <v>338</v>
      </c>
      <c r="F944" s="35" t="s">
        <v>339</v>
      </c>
      <c r="I944" s="30" t="s">
        <v>333</v>
      </c>
      <c r="J944" s="30">
        <v>1</v>
      </c>
      <c r="K944" s="30" t="s">
        <v>35</v>
      </c>
      <c r="L944" s="30" t="s">
        <v>107</v>
      </c>
      <c r="M944" s="30" t="s">
        <v>325</v>
      </c>
      <c r="T944"/>
    </row>
    <row r="945" spans="4:20" ht="15" customHeight="1">
      <c r="D945" s="30" t="s">
        <v>534</v>
      </c>
      <c r="E945" s="30" t="s">
        <v>322</v>
      </c>
      <c r="G945" s="35" t="s">
        <v>371</v>
      </c>
      <c r="H945" s="35" t="s">
        <v>363</v>
      </c>
      <c r="I945" s="30" t="s">
        <v>48</v>
      </c>
      <c r="J945" s="30">
        <v>2</v>
      </c>
      <c r="K945" s="30" t="s">
        <v>35</v>
      </c>
      <c r="L945" s="30" t="s">
        <v>324</v>
      </c>
      <c r="M945" s="30" t="s">
        <v>325</v>
      </c>
      <c r="T945"/>
    </row>
    <row r="946" spans="4:20" ht="14.25" customHeight="1">
      <c r="D946" s="30" t="s">
        <v>534</v>
      </c>
      <c r="E946" s="30" t="s">
        <v>45</v>
      </c>
      <c r="G946" s="35" t="s">
        <v>364</v>
      </c>
      <c r="H946" s="35" t="s">
        <v>365</v>
      </c>
      <c r="I946" s="30" t="s">
        <v>48</v>
      </c>
      <c r="J946" s="30">
        <v>2</v>
      </c>
      <c r="K946" s="30" t="s">
        <v>35</v>
      </c>
      <c r="L946" s="30" t="s">
        <v>358</v>
      </c>
      <c r="M946" s="30" t="s">
        <v>325</v>
      </c>
      <c r="T946"/>
    </row>
    <row r="947" spans="4:20" ht="14.25" customHeight="1">
      <c r="D947" s="30" t="s">
        <v>534</v>
      </c>
      <c r="E947" s="30" t="s">
        <v>331</v>
      </c>
      <c r="F947" s="35" t="s">
        <v>345</v>
      </c>
      <c r="I947" s="30" t="s">
        <v>333</v>
      </c>
      <c r="J947" s="30">
        <v>1</v>
      </c>
      <c r="K947" s="30" t="s">
        <v>35</v>
      </c>
      <c r="L947" s="30" t="s">
        <v>107</v>
      </c>
      <c r="M947" s="30" t="s">
        <v>325</v>
      </c>
      <c r="T947"/>
    </row>
    <row r="948" spans="4:20" ht="15" customHeight="1">
      <c r="D948" s="30" t="s">
        <v>534</v>
      </c>
      <c r="E948" s="30" t="s">
        <v>353</v>
      </c>
      <c r="F948" s="35" t="s">
        <v>354</v>
      </c>
      <c r="I948" s="30" t="s">
        <v>355</v>
      </c>
      <c r="J948" s="30" t="s">
        <v>352</v>
      </c>
      <c r="K948" s="30" t="s">
        <v>35</v>
      </c>
      <c r="L948" s="30" t="s">
        <v>107</v>
      </c>
      <c r="M948" s="30" t="s">
        <v>325</v>
      </c>
      <c r="T948"/>
    </row>
    <row r="949" spans="4:20" ht="15" customHeight="1">
      <c r="D949" s="30" t="s">
        <v>534</v>
      </c>
      <c r="E949" s="30" t="s">
        <v>326</v>
      </c>
      <c r="G949" s="35" t="s">
        <v>427</v>
      </c>
      <c r="H949" s="35" t="s">
        <v>367</v>
      </c>
      <c r="I949" s="30" t="s">
        <v>329</v>
      </c>
      <c r="J949" s="30">
        <v>2</v>
      </c>
      <c r="K949" s="30" t="s">
        <v>35</v>
      </c>
      <c r="L949" s="30" t="s">
        <v>330</v>
      </c>
      <c r="M949" s="30" t="s">
        <v>325</v>
      </c>
      <c r="T949"/>
    </row>
    <row r="950" spans="4:20" ht="15" customHeight="1">
      <c r="D950" s="30" t="s">
        <v>534</v>
      </c>
      <c r="E950" s="30" t="s">
        <v>349</v>
      </c>
      <c r="F950" s="35" t="s">
        <v>500</v>
      </c>
      <c r="I950" s="30" t="s">
        <v>351</v>
      </c>
      <c r="J950" s="30" t="s">
        <v>352</v>
      </c>
      <c r="K950" s="30" t="s">
        <v>35</v>
      </c>
      <c r="L950" s="30" t="s">
        <v>324</v>
      </c>
      <c r="M950" s="30" t="s">
        <v>325</v>
      </c>
      <c r="T950"/>
    </row>
    <row r="951" spans="4:20" ht="15" customHeight="1">
      <c r="D951" s="30" t="s">
        <v>389</v>
      </c>
      <c r="E951" s="30" t="s">
        <v>46</v>
      </c>
      <c r="F951" s="35" t="s">
        <v>335</v>
      </c>
      <c r="I951" s="30" t="s">
        <v>333</v>
      </c>
      <c r="J951" s="30">
        <v>1</v>
      </c>
      <c r="K951" s="30" t="s">
        <v>35</v>
      </c>
      <c r="L951" s="30" t="s">
        <v>336</v>
      </c>
      <c r="M951" s="30" t="s">
        <v>325</v>
      </c>
      <c r="T951"/>
    </row>
    <row r="952" spans="4:20" ht="15" customHeight="1">
      <c r="D952" s="30" t="s">
        <v>389</v>
      </c>
      <c r="E952" s="30" t="s">
        <v>337</v>
      </c>
      <c r="F952" s="35" t="s">
        <v>368</v>
      </c>
      <c r="I952" s="30" t="s">
        <v>333</v>
      </c>
      <c r="J952" s="30">
        <v>1</v>
      </c>
      <c r="K952" s="30" t="s">
        <v>35</v>
      </c>
      <c r="L952" s="30" t="s">
        <v>336</v>
      </c>
      <c r="M952" s="30" t="s">
        <v>325</v>
      </c>
      <c r="T952"/>
    </row>
    <row r="953" spans="4:20" ht="15" customHeight="1">
      <c r="D953" s="30" t="s">
        <v>389</v>
      </c>
      <c r="E953" s="30" t="s">
        <v>334</v>
      </c>
      <c r="H953" s="35" t="s">
        <v>386</v>
      </c>
      <c r="I953" s="30" t="s">
        <v>333</v>
      </c>
      <c r="J953" s="30">
        <v>1</v>
      </c>
      <c r="K953" s="30" t="s">
        <v>35</v>
      </c>
      <c r="L953" s="30" t="s">
        <v>336</v>
      </c>
      <c r="M953" s="30" t="s">
        <v>325</v>
      </c>
      <c r="T953"/>
    </row>
    <row r="954" spans="4:20" ht="15" customHeight="1">
      <c r="D954" s="30" t="s">
        <v>389</v>
      </c>
      <c r="E954" s="30" t="s">
        <v>338</v>
      </c>
      <c r="F954" s="35" t="s">
        <v>339</v>
      </c>
      <c r="I954" s="30" t="s">
        <v>333</v>
      </c>
      <c r="J954" s="30">
        <v>1</v>
      </c>
      <c r="K954" s="30" t="s">
        <v>35</v>
      </c>
      <c r="L954" s="30" t="s">
        <v>107</v>
      </c>
      <c r="M954" s="30" t="s">
        <v>325</v>
      </c>
      <c r="T954"/>
    </row>
    <row r="955" spans="4:20" ht="15" customHeight="1">
      <c r="D955" s="30" t="s">
        <v>389</v>
      </c>
      <c r="E955" s="30" t="s">
        <v>322</v>
      </c>
      <c r="G955" s="35" t="s">
        <v>390</v>
      </c>
      <c r="H955" s="35" t="s">
        <v>377</v>
      </c>
      <c r="I955" s="30" t="s">
        <v>48</v>
      </c>
      <c r="J955" s="30">
        <v>2</v>
      </c>
      <c r="K955" s="30" t="s">
        <v>35</v>
      </c>
      <c r="L955" s="30" t="s">
        <v>324</v>
      </c>
      <c r="M955" s="30" t="s">
        <v>325</v>
      </c>
      <c r="T955"/>
    </row>
    <row r="956" spans="4:20" ht="15" customHeight="1">
      <c r="D956" s="30" t="s">
        <v>389</v>
      </c>
      <c r="E956" s="30" t="s">
        <v>45</v>
      </c>
      <c r="G956" s="35" t="s">
        <v>365</v>
      </c>
      <c r="H956" s="35" t="s">
        <v>356</v>
      </c>
      <c r="I956" s="30" t="s">
        <v>48</v>
      </c>
      <c r="J956" s="30">
        <v>2</v>
      </c>
      <c r="K956" s="30" t="s">
        <v>35</v>
      </c>
      <c r="L956" s="30" t="s">
        <v>358</v>
      </c>
      <c r="M956" s="30" t="s">
        <v>325</v>
      </c>
      <c r="T956"/>
    </row>
    <row r="957" spans="4:20" ht="15" customHeight="1">
      <c r="D957" s="30" t="s">
        <v>389</v>
      </c>
      <c r="E957" s="30" t="s">
        <v>331</v>
      </c>
      <c r="F957" s="35" t="s">
        <v>345</v>
      </c>
      <c r="I957" s="30" t="s">
        <v>333</v>
      </c>
      <c r="J957" s="30">
        <v>1</v>
      </c>
      <c r="K957" s="30" t="s">
        <v>35</v>
      </c>
      <c r="L957" s="30" t="s">
        <v>107</v>
      </c>
      <c r="M957" s="30" t="s">
        <v>325</v>
      </c>
      <c r="T957"/>
    </row>
    <row r="958" spans="4:20" ht="15" customHeight="1">
      <c r="D958" s="30" t="s">
        <v>389</v>
      </c>
      <c r="E958" s="30" t="s">
        <v>326</v>
      </c>
      <c r="G958" s="35" t="s">
        <v>391</v>
      </c>
      <c r="H958" s="35" t="s">
        <v>380</v>
      </c>
      <c r="I958" s="30" t="s">
        <v>329</v>
      </c>
      <c r="J958" s="30">
        <v>2</v>
      </c>
      <c r="K958" s="30" t="s">
        <v>35</v>
      </c>
      <c r="L958" s="30" t="s">
        <v>330</v>
      </c>
      <c r="M958" s="30" t="s">
        <v>325</v>
      </c>
      <c r="T958"/>
    </row>
    <row r="959" spans="4:20" ht="15" customHeight="1">
      <c r="D959" s="30" t="s">
        <v>389</v>
      </c>
      <c r="E959" s="30" t="s">
        <v>349</v>
      </c>
      <c r="F959" s="35" t="s">
        <v>392</v>
      </c>
      <c r="I959" s="30" t="s">
        <v>351</v>
      </c>
      <c r="J959" s="30" t="s">
        <v>352</v>
      </c>
      <c r="K959" s="30" t="s">
        <v>35</v>
      </c>
      <c r="L959" s="30" t="s">
        <v>324</v>
      </c>
      <c r="M959" s="30" t="s">
        <v>325</v>
      </c>
      <c r="T959"/>
    </row>
    <row r="960" spans="4:20" ht="15" customHeight="1">
      <c r="D960" s="30" t="s">
        <v>393</v>
      </c>
      <c r="E960" s="30" t="s">
        <v>46</v>
      </c>
      <c r="F960" s="35" t="s">
        <v>335</v>
      </c>
      <c r="I960" s="30" t="s">
        <v>333</v>
      </c>
      <c r="J960" s="30">
        <v>1</v>
      </c>
      <c r="K960" s="30" t="s">
        <v>35</v>
      </c>
      <c r="L960" s="30" t="s">
        <v>336</v>
      </c>
      <c r="M960" s="30" t="s">
        <v>325</v>
      </c>
      <c r="T960"/>
    </row>
    <row r="961" spans="4:20" ht="14.25" customHeight="1">
      <c r="D961" s="30" t="s">
        <v>393</v>
      </c>
      <c r="E961" s="30" t="s">
        <v>337</v>
      </c>
      <c r="F961" s="35" t="s">
        <v>381</v>
      </c>
      <c r="I961" s="30" t="s">
        <v>333</v>
      </c>
      <c r="J961" s="30">
        <v>1</v>
      </c>
      <c r="K961" s="30" t="s">
        <v>35</v>
      </c>
      <c r="L961" s="30" t="s">
        <v>336</v>
      </c>
      <c r="M961" s="30" t="s">
        <v>325</v>
      </c>
      <c r="T961"/>
    </row>
    <row r="962" spans="4:20" ht="14.25" customHeight="1">
      <c r="D962" s="30" t="s">
        <v>393</v>
      </c>
      <c r="E962" s="30" t="s">
        <v>334</v>
      </c>
      <c r="F962" s="35" t="s">
        <v>335</v>
      </c>
      <c r="I962" s="30" t="s">
        <v>333</v>
      </c>
      <c r="J962" s="30">
        <v>1</v>
      </c>
      <c r="K962" s="30" t="s">
        <v>35</v>
      </c>
      <c r="L962" s="30" t="s">
        <v>336</v>
      </c>
      <c r="M962" s="30" t="s">
        <v>325</v>
      </c>
      <c r="T962"/>
    </row>
    <row r="963" spans="4:20" ht="15" customHeight="1">
      <c r="D963" s="30" t="s">
        <v>393</v>
      </c>
      <c r="E963" s="30" t="s">
        <v>338</v>
      </c>
      <c r="F963" s="35" t="s">
        <v>339</v>
      </c>
      <c r="I963" s="30" t="s">
        <v>333</v>
      </c>
      <c r="J963" s="30">
        <v>1</v>
      </c>
      <c r="K963" s="30" t="s">
        <v>35</v>
      </c>
      <c r="L963" s="30" t="s">
        <v>107</v>
      </c>
      <c r="M963" s="30" t="s">
        <v>325</v>
      </c>
      <c r="T963"/>
    </row>
    <row r="964" spans="4:20" ht="15" customHeight="1">
      <c r="D964" s="30" t="s">
        <v>393</v>
      </c>
      <c r="E964" s="30" t="s">
        <v>322</v>
      </c>
      <c r="G964" s="35" t="s">
        <v>377</v>
      </c>
      <c r="H964" s="35" t="s">
        <v>394</v>
      </c>
      <c r="I964" s="30" t="s">
        <v>48</v>
      </c>
      <c r="J964" s="30">
        <v>2</v>
      </c>
      <c r="K964" s="30" t="s">
        <v>35</v>
      </c>
      <c r="L964" s="30" t="s">
        <v>324</v>
      </c>
      <c r="M964" s="30" t="s">
        <v>325</v>
      </c>
      <c r="T964"/>
    </row>
    <row r="965" spans="4:20" ht="15" customHeight="1">
      <c r="D965" s="30" t="s">
        <v>393</v>
      </c>
      <c r="E965" s="30" t="s">
        <v>45</v>
      </c>
      <c r="G965" s="35" t="s">
        <v>397</v>
      </c>
      <c r="H965" s="35" t="s">
        <v>398</v>
      </c>
      <c r="I965" s="30" t="s">
        <v>48</v>
      </c>
      <c r="J965" s="30">
        <v>2</v>
      </c>
      <c r="K965" s="30" t="s">
        <v>35</v>
      </c>
      <c r="L965" s="30" t="s">
        <v>358</v>
      </c>
      <c r="M965" s="30" t="s">
        <v>325</v>
      </c>
      <c r="T965"/>
    </row>
    <row r="966" spans="4:20" ht="15" customHeight="1">
      <c r="D966" s="30" t="s">
        <v>393</v>
      </c>
      <c r="E966" s="30" t="s">
        <v>331</v>
      </c>
      <c r="F966" s="35" t="s">
        <v>345</v>
      </c>
      <c r="I966" s="30" t="s">
        <v>333</v>
      </c>
      <c r="J966" s="30">
        <v>1</v>
      </c>
      <c r="K966" s="30" t="s">
        <v>35</v>
      </c>
      <c r="L966" s="30" t="s">
        <v>107</v>
      </c>
      <c r="M966" s="30" t="s">
        <v>325</v>
      </c>
      <c r="T966"/>
    </row>
    <row r="967" spans="4:20" ht="15" customHeight="1">
      <c r="D967" s="30" t="s">
        <v>393</v>
      </c>
      <c r="E967" s="30" t="s">
        <v>326</v>
      </c>
      <c r="G967" s="35" t="s">
        <v>380</v>
      </c>
      <c r="H967" s="35" t="s">
        <v>395</v>
      </c>
      <c r="I967" s="30" t="s">
        <v>329</v>
      </c>
      <c r="J967" s="30">
        <v>2</v>
      </c>
      <c r="K967" s="30" t="s">
        <v>35</v>
      </c>
      <c r="L967" s="30" t="s">
        <v>330</v>
      </c>
      <c r="M967" s="30" t="s">
        <v>325</v>
      </c>
      <c r="T967"/>
    </row>
    <row r="968" spans="4:20" ht="15" customHeight="1">
      <c r="D968" s="30" t="s">
        <v>393</v>
      </c>
      <c r="E968" s="30" t="s">
        <v>349</v>
      </c>
      <c r="F968" s="35" t="s">
        <v>396</v>
      </c>
      <c r="I968" s="30" t="s">
        <v>351</v>
      </c>
      <c r="J968" s="30" t="s">
        <v>352</v>
      </c>
      <c r="K968" s="30" t="s">
        <v>35</v>
      </c>
      <c r="L968" s="30" t="s">
        <v>324</v>
      </c>
      <c r="M968" s="30" t="s">
        <v>325</v>
      </c>
      <c r="T968"/>
    </row>
    <row r="969" spans="4:20" ht="15" customHeight="1">
      <c r="D969" s="30" t="s">
        <v>634</v>
      </c>
      <c r="E969" s="30" t="s">
        <v>46</v>
      </c>
      <c r="F969" s="35" t="s">
        <v>335</v>
      </c>
      <c r="I969" s="30" t="s">
        <v>333</v>
      </c>
      <c r="J969" s="30">
        <v>1</v>
      </c>
      <c r="K969" s="30" t="s">
        <v>35</v>
      </c>
      <c r="L969" s="30" t="s">
        <v>336</v>
      </c>
      <c r="M969" s="30" t="s">
        <v>325</v>
      </c>
      <c r="T969"/>
    </row>
    <row r="970" spans="4:20" ht="14.25" customHeight="1">
      <c r="D970" s="30" t="s">
        <v>634</v>
      </c>
      <c r="E970" s="30" t="s">
        <v>337</v>
      </c>
      <c r="F970" s="35" t="s">
        <v>368</v>
      </c>
      <c r="I970" s="30" t="s">
        <v>333</v>
      </c>
      <c r="J970" s="30">
        <v>1</v>
      </c>
      <c r="K970" s="30" t="s">
        <v>35</v>
      </c>
      <c r="L970" s="30" t="s">
        <v>336</v>
      </c>
      <c r="M970" s="30" t="s">
        <v>325</v>
      </c>
      <c r="T970"/>
    </row>
    <row r="971" spans="4:20" ht="14.25" customHeight="1">
      <c r="D971" s="30" t="s">
        <v>634</v>
      </c>
      <c r="E971" s="30" t="s">
        <v>334</v>
      </c>
      <c r="F971" s="35" t="s">
        <v>335</v>
      </c>
      <c r="I971" s="30" t="s">
        <v>333</v>
      </c>
      <c r="J971" s="30">
        <v>1</v>
      </c>
      <c r="K971" s="30" t="s">
        <v>35</v>
      </c>
      <c r="L971" s="30" t="s">
        <v>336</v>
      </c>
      <c r="M971" s="30" t="s">
        <v>325</v>
      </c>
      <c r="T971"/>
    </row>
    <row r="972" spans="4:20" ht="15" customHeight="1">
      <c r="D972" s="30" t="s">
        <v>634</v>
      </c>
      <c r="E972" s="30" t="s">
        <v>338</v>
      </c>
      <c r="F972" s="35" t="s">
        <v>339</v>
      </c>
      <c r="I972" s="30" t="s">
        <v>333</v>
      </c>
      <c r="J972" s="30">
        <v>1</v>
      </c>
      <c r="K972" s="30" t="s">
        <v>35</v>
      </c>
      <c r="L972" s="30" t="s">
        <v>107</v>
      </c>
      <c r="M972" s="30" t="s">
        <v>325</v>
      </c>
      <c r="T972"/>
    </row>
    <row r="973" spans="4:20" ht="15" customHeight="1">
      <c r="D973" s="30" t="s">
        <v>634</v>
      </c>
      <c r="E973" s="30" t="s">
        <v>322</v>
      </c>
      <c r="G973" s="35" t="s">
        <v>412</v>
      </c>
      <c r="H973" s="35" t="s">
        <v>372</v>
      </c>
      <c r="I973" s="30" t="s">
        <v>48</v>
      </c>
      <c r="J973" s="30">
        <v>2</v>
      </c>
      <c r="K973" s="30" t="s">
        <v>35</v>
      </c>
      <c r="L973" s="30" t="s">
        <v>324</v>
      </c>
      <c r="M973" s="30" t="s">
        <v>325</v>
      </c>
      <c r="T973"/>
    </row>
    <row r="974" spans="4:20" ht="15" customHeight="1">
      <c r="D974" s="30" t="s">
        <v>634</v>
      </c>
      <c r="E974" s="30" t="s">
        <v>45</v>
      </c>
      <c r="G974" s="35" t="s">
        <v>505</v>
      </c>
      <c r="H974" s="35" t="s">
        <v>473</v>
      </c>
      <c r="I974" s="30" t="s">
        <v>48</v>
      </c>
      <c r="J974" s="30">
        <v>2</v>
      </c>
      <c r="K974" s="30" t="s">
        <v>35</v>
      </c>
      <c r="L974" s="30" t="s">
        <v>358</v>
      </c>
      <c r="M974" s="30" t="s">
        <v>325</v>
      </c>
      <c r="T974"/>
    </row>
    <row r="975" spans="4:20" ht="15" customHeight="1">
      <c r="D975" s="30" t="s">
        <v>634</v>
      </c>
      <c r="E975" s="30" t="s">
        <v>347</v>
      </c>
      <c r="G975" s="35" t="s">
        <v>635</v>
      </c>
      <c r="I975" s="30" t="s">
        <v>329</v>
      </c>
      <c r="J975" s="30">
        <v>2</v>
      </c>
      <c r="K975" s="30" t="s">
        <v>35</v>
      </c>
      <c r="L975" s="30" t="s">
        <v>330</v>
      </c>
      <c r="M975" s="30" t="s">
        <v>325</v>
      </c>
      <c r="T975"/>
    </row>
    <row r="976" spans="4:20" ht="15" customHeight="1">
      <c r="D976" s="30" t="s">
        <v>634</v>
      </c>
      <c r="E976" s="30" t="s">
        <v>331</v>
      </c>
      <c r="F976" s="35" t="s">
        <v>345</v>
      </c>
      <c r="I976" s="30" t="s">
        <v>333</v>
      </c>
      <c r="J976" s="30">
        <v>1</v>
      </c>
      <c r="K976" s="30" t="s">
        <v>35</v>
      </c>
      <c r="L976" s="30" t="s">
        <v>107</v>
      </c>
      <c r="M976" s="30" t="s">
        <v>325</v>
      </c>
      <c r="T976"/>
    </row>
    <row r="977" spans="4:20" ht="15" customHeight="1">
      <c r="D977" s="30" t="s">
        <v>634</v>
      </c>
      <c r="E977" s="30" t="s">
        <v>353</v>
      </c>
      <c r="F977" s="35" t="s">
        <v>354</v>
      </c>
      <c r="I977" s="30" t="s">
        <v>355</v>
      </c>
      <c r="J977" s="30" t="s">
        <v>352</v>
      </c>
      <c r="K977" s="30" t="s">
        <v>35</v>
      </c>
      <c r="L977" s="30" t="s">
        <v>107</v>
      </c>
      <c r="M977" s="30" t="s">
        <v>325</v>
      </c>
      <c r="T977"/>
    </row>
    <row r="978" spans="4:20" ht="15" customHeight="1">
      <c r="D978" s="30" t="s">
        <v>634</v>
      </c>
      <c r="E978" s="30" t="s">
        <v>326</v>
      </c>
      <c r="G978" s="35" t="s">
        <v>385</v>
      </c>
      <c r="H978" s="35" t="s">
        <v>614</v>
      </c>
      <c r="I978" s="30" t="s">
        <v>329</v>
      </c>
      <c r="J978" s="30">
        <v>2</v>
      </c>
      <c r="K978" s="30" t="s">
        <v>35</v>
      </c>
      <c r="L978" s="30" t="s">
        <v>330</v>
      </c>
      <c r="M978" s="30" t="s">
        <v>325</v>
      </c>
      <c r="T978"/>
    </row>
    <row r="979" spans="4:20" ht="15" customHeight="1">
      <c r="D979" s="30" t="s">
        <v>634</v>
      </c>
      <c r="E979" s="30" t="s">
        <v>349</v>
      </c>
      <c r="F979" s="35" t="s">
        <v>514</v>
      </c>
      <c r="I979" s="30" t="s">
        <v>351</v>
      </c>
      <c r="J979" s="30" t="s">
        <v>352</v>
      </c>
      <c r="K979" s="30" t="s">
        <v>35</v>
      </c>
      <c r="L979" s="30" t="s">
        <v>324</v>
      </c>
      <c r="M979" s="30" t="s">
        <v>325</v>
      </c>
      <c r="T979"/>
    </row>
    <row r="980" spans="4:20" ht="15" customHeight="1">
      <c r="D980" s="30" t="s">
        <v>580</v>
      </c>
      <c r="E980" s="30" t="s">
        <v>46</v>
      </c>
      <c r="F980" s="35" t="s">
        <v>335</v>
      </c>
      <c r="I980" s="30" t="s">
        <v>333</v>
      </c>
      <c r="J980" s="30">
        <v>1</v>
      </c>
      <c r="K980" s="30" t="s">
        <v>35</v>
      </c>
      <c r="L980" s="30" t="s">
        <v>336</v>
      </c>
      <c r="M980" s="30" t="s">
        <v>325</v>
      </c>
      <c r="T980"/>
    </row>
    <row r="981" spans="4:20" ht="15" customHeight="1">
      <c r="D981" s="30" t="s">
        <v>580</v>
      </c>
      <c r="E981" s="30" t="s">
        <v>337</v>
      </c>
      <c r="F981" s="35" t="s">
        <v>368</v>
      </c>
      <c r="I981" s="30" t="s">
        <v>333</v>
      </c>
      <c r="J981" s="30">
        <v>1</v>
      </c>
      <c r="K981" s="30" t="s">
        <v>35</v>
      </c>
      <c r="L981" s="30" t="s">
        <v>336</v>
      </c>
      <c r="M981" s="30" t="s">
        <v>325</v>
      </c>
      <c r="T981"/>
    </row>
    <row r="982" spans="4:20" ht="15" customHeight="1">
      <c r="D982" s="30" t="s">
        <v>580</v>
      </c>
      <c r="E982" s="30" t="s">
        <v>334</v>
      </c>
      <c r="H982" s="35" t="s">
        <v>386</v>
      </c>
      <c r="I982" s="30" t="s">
        <v>333</v>
      </c>
      <c r="J982" s="30">
        <v>1</v>
      </c>
      <c r="K982" s="30" t="s">
        <v>35</v>
      </c>
      <c r="L982" s="30" t="s">
        <v>336</v>
      </c>
      <c r="M982" s="30" t="s">
        <v>325</v>
      </c>
      <c r="T982"/>
    </row>
    <row r="983" spans="4:20" ht="15" customHeight="1">
      <c r="D983" s="30" t="s">
        <v>580</v>
      </c>
      <c r="E983" s="30" t="s">
        <v>338</v>
      </c>
      <c r="F983" s="35" t="s">
        <v>339</v>
      </c>
      <c r="I983" s="30" t="s">
        <v>333</v>
      </c>
      <c r="J983" s="30">
        <v>1</v>
      </c>
      <c r="K983" s="30" t="s">
        <v>35</v>
      </c>
      <c r="L983" s="30" t="s">
        <v>107</v>
      </c>
      <c r="M983" s="30" t="s">
        <v>325</v>
      </c>
      <c r="T983"/>
    </row>
    <row r="984" spans="4:20" ht="15" customHeight="1">
      <c r="D984" s="30" t="s">
        <v>580</v>
      </c>
      <c r="E984" s="30" t="s">
        <v>322</v>
      </c>
      <c r="G984" s="35" t="s">
        <v>384</v>
      </c>
      <c r="H984" s="35" t="s">
        <v>519</v>
      </c>
      <c r="I984" s="30" t="s">
        <v>48</v>
      </c>
      <c r="J984" s="30">
        <v>2</v>
      </c>
      <c r="K984" s="30" t="s">
        <v>35</v>
      </c>
      <c r="L984" s="30" t="s">
        <v>324</v>
      </c>
      <c r="M984" s="30" t="s">
        <v>325</v>
      </c>
      <c r="T984"/>
    </row>
    <row r="985" spans="4:20" ht="15" customHeight="1">
      <c r="D985" s="30" t="s">
        <v>580</v>
      </c>
      <c r="E985" s="30" t="s">
        <v>45</v>
      </c>
      <c r="G985" s="35" t="s">
        <v>505</v>
      </c>
      <c r="H985" s="35" t="s">
        <v>397</v>
      </c>
      <c r="I985" s="30" t="s">
        <v>48</v>
      </c>
      <c r="J985" s="30">
        <v>2</v>
      </c>
      <c r="K985" s="30" t="s">
        <v>35</v>
      </c>
      <c r="L985" s="30" t="s">
        <v>358</v>
      </c>
      <c r="M985" s="30" t="s">
        <v>325</v>
      </c>
      <c r="T985"/>
    </row>
    <row r="986" spans="4:20" ht="15" customHeight="1">
      <c r="D986" s="30" t="s">
        <v>580</v>
      </c>
      <c r="E986" s="30" t="s">
        <v>347</v>
      </c>
      <c r="G986" s="35" t="s">
        <v>401</v>
      </c>
      <c r="I986" s="30" t="s">
        <v>329</v>
      </c>
      <c r="J986" s="30">
        <v>2</v>
      </c>
      <c r="K986" s="30" t="s">
        <v>35</v>
      </c>
      <c r="L986" s="30" t="s">
        <v>330</v>
      </c>
      <c r="M986" s="30" t="s">
        <v>325</v>
      </c>
      <c r="T986"/>
    </row>
    <row r="987" spans="4:20" ht="15" customHeight="1">
      <c r="D987" s="30" t="s">
        <v>580</v>
      </c>
      <c r="E987" s="30" t="s">
        <v>331</v>
      </c>
      <c r="F987" s="35" t="s">
        <v>345</v>
      </c>
      <c r="I987" s="30" t="s">
        <v>333</v>
      </c>
      <c r="J987" s="30">
        <v>1</v>
      </c>
      <c r="K987" s="30" t="s">
        <v>35</v>
      </c>
      <c r="L987" s="30" t="s">
        <v>107</v>
      </c>
      <c r="M987" s="30" t="s">
        <v>325</v>
      </c>
      <c r="T987"/>
    </row>
    <row r="988" spans="4:20" ht="15" customHeight="1">
      <c r="D988" s="30" t="s">
        <v>580</v>
      </c>
      <c r="E988" s="30" t="s">
        <v>353</v>
      </c>
      <c r="F988" s="35" t="s">
        <v>354</v>
      </c>
      <c r="I988" s="30" t="s">
        <v>355</v>
      </c>
      <c r="J988" s="30" t="s">
        <v>352</v>
      </c>
      <c r="K988" s="30" t="s">
        <v>35</v>
      </c>
      <c r="L988" s="30" t="s">
        <v>107</v>
      </c>
      <c r="M988" s="30" t="s">
        <v>325</v>
      </c>
      <c r="T988"/>
    </row>
    <row r="989" spans="4:20" ht="15" customHeight="1">
      <c r="D989" s="30" t="s">
        <v>580</v>
      </c>
      <c r="E989" s="30" t="s">
        <v>326</v>
      </c>
      <c r="G989" s="35" t="s">
        <v>385</v>
      </c>
      <c r="H989" s="35" t="s">
        <v>581</v>
      </c>
      <c r="I989" s="30" t="s">
        <v>329</v>
      </c>
      <c r="J989" s="30">
        <v>2</v>
      </c>
      <c r="K989" s="30" t="s">
        <v>35</v>
      </c>
      <c r="L989" s="30" t="s">
        <v>578</v>
      </c>
      <c r="M989" s="30" t="s">
        <v>325</v>
      </c>
      <c r="T989"/>
    </row>
    <row r="990" spans="4:20" ht="15" customHeight="1">
      <c r="D990" s="30" t="s">
        <v>580</v>
      </c>
      <c r="E990" s="30" t="s">
        <v>349</v>
      </c>
      <c r="F990" s="35" t="s">
        <v>582</v>
      </c>
      <c r="I990" s="30" t="s">
        <v>351</v>
      </c>
      <c r="J990" s="30" t="s">
        <v>352</v>
      </c>
      <c r="K990" s="30" t="s">
        <v>35</v>
      </c>
      <c r="L990" s="30" t="s">
        <v>324</v>
      </c>
      <c r="M990" s="30" t="s">
        <v>325</v>
      </c>
      <c r="T990"/>
    </row>
    <row r="991" spans="4:20" ht="15" customHeight="1">
      <c r="D991" s="30" t="s">
        <v>399</v>
      </c>
      <c r="E991" s="30" t="s">
        <v>46</v>
      </c>
      <c r="F991" s="35" t="s">
        <v>335</v>
      </c>
      <c r="I991" s="30" t="s">
        <v>333</v>
      </c>
      <c r="J991" s="30">
        <v>1</v>
      </c>
      <c r="K991" s="30" t="s">
        <v>35</v>
      </c>
      <c r="L991" s="30" t="s">
        <v>336</v>
      </c>
      <c r="M991" s="30" t="s">
        <v>325</v>
      </c>
      <c r="T991"/>
    </row>
    <row r="992" spans="4:20" ht="15" customHeight="1">
      <c r="D992" s="30" t="s">
        <v>399</v>
      </c>
      <c r="E992" s="30" t="s">
        <v>337</v>
      </c>
      <c r="F992" s="35" t="s">
        <v>368</v>
      </c>
      <c r="I992" s="30" t="s">
        <v>333</v>
      </c>
      <c r="J992" s="30">
        <v>1</v>
      </c>
      <c r="K992" s="30" t="s">
        <v>35</v>
      </c>
      <c r="L992" s="30" t="s">
        <v>336</v>
      </c>
      <c r="M992" s="30" t="s">
        <v>325</v>
      </c>
      <c r="T992"/>
    </row>
    <row r="993" spans="4:20" ht="15" customHeight="1">
      <c r="D993" s="30" t="s">
        <v>399</v>
      </c>
      <c r="E993" s="30" t="s">
        <v>334</v>
      </c>
      <c r="H993" s="35" t="s">
        <v>386</v>
      </c>
      <c r="I993" s="30" t="s">
        <v>333</v>
      </c>
      <c r="J993" s="30">
        <v>1</v>
      </c>
      <c r="K993" s="30" t="s">
        <v>35</v>
      </c>
      <c r="L993" s="30" t="s">
        <v>336</v>
      </c>
      <c r="M993" s="30" t="s">
        <v>325</v>
      </c>
      <c r="T993"/>
    </row>
    <row r="994" spans="4:20" ht="15" customHeight="1">
      <c r="D994" s="30" t="s">
        <v>399</v>
      </c>
      <c r="E994" s="30" t="s">
        <v>338</v>
      </c>
      <c r="F994" s="35" t="s">
        <v>339</v>
      </c>
      <c r="I994" s="30" t="s">
        <v>333</v>
      </c>
      <c r="J994" s="30">
        <v>1</v>
      </c>
      <c r="K994" s="30" t="s">
        <v>35</v>
      </c>
      <c r="L994" s="30" t="s">
        <v>107</v>
      </c>
      <c r="M994" s="30" t="s">
        <v>325</v>
      </c>
      <c r="T994"/>
    </row>
    <row r="995" spans="4:20" ht="15" customHeight="1">
      <c r="D995" s="30" t="s">
        <v>399</v>
      </c>
      <c r="E995" s="30" t="s">
        <v>322</v>
      </c>
      <c r="G995" s="35" t="s">
        <v>390</v>
      </c>
      <c r="H995" s="35" t="s">
        <v>400</v>
      </c>
      <c r="I995" s="30" t="s">
        <v>48</v>
      </c>
      <c r="J995" s="30">
        <v>2</v>
      </c>
      <c r="K995" s="30" t="s">
        <v>35</v>
      </c>
      <c r="L995" s="30" t="s">
        <v>324</v>
      </c>
      <c r="M995" s="30" t="s">
        <v>325</v>
      </c>
      <c r="T995"/>
    </row>
    <row r="996" spans="4:20" ht="15" customHeight="1">
      <c r="D996" s="30" t="s">
        <v>399</v>
      </c>
      <c r="E996" s="30" t="s">
        <v>45</v>
      </c>
      <c r="G996" s="35" t="s">
        <v>403</v>
      </c>
      <c r="H996" s="35" t="s">
        <v>398</v>
      </c>
      <c r="I996" s="30" t="s">
        <v>48</v>
      </c>
      <c r="J996" s="30">
        <v>2</v>
      </c>
      <c r="K996" s="30" t="s">
        <v>35</v>
      </c>
      <c r="L996" s="30" t="s">
        <v>358</v>
      </c>
      <c r="M996" s="30" t="s">
        <v>325</v>
      </c>
      <c r="T996"/>
    </row>
    <row r="997" spans="4:20" ht="15" customHeight="1">
      <c r="D997" s="30" t="s">
        <v>399</v>
      </c>
      <c r="E997" s="30" t="s">
        <v>347</v>
      </c>
      <c r="G997" s="35" t="s">
        <v>401</v>
      </c>
      <c r="I997" s="30" t="s">
        <v>329</v>
      </c>
      <c r="J997" s="30">
        <v>2</v>
      </c>
      <c r="K997" s="30" t="s">
        <v>35</v>
      </c>
      <c r="L997" s="30" t="s">
        <v>330</v>
      </c>
      <c r="M997" s="30" t="s">
        <v>325</v>
      </c>
      <c r="T997"/>
    </row>
    <row r="998" spans="4:20" ht="15" customHeight="1">
      <c r="D998" s="30" t="s">
        <v>399</v>
      </c>
      <c r="E998" s="30" t="s">
        <v>331</v>
      </c>
      <c r="F998" s="35" t="s">
        <v>345</v>
      </c>
      <c r="I998" s="30" t="s">
        <v>333</v>
      </c>
      <c r="J998" s="30">
        <v>1</v>
      </c>
      <c r="K998" s="30" t="s">
        <v>35</v>
      </c>
      <c r="L998" s="30" t="s">
        <v>107</v>
      </c>
      <c r="M998" s="30" t="s">
        <v>325</v>
      </c>
      <c r="T998"/>
    </row>
    <row r="999" spans="4:20" ht="15" customHeight="1">
      <c r="D999" s="30" t="s">
        <v>399</v>
      </c>
      <c r="E999" s="30" t="s">
        <v>326</v>
      </c>
      <c r="G999" s="35" t="s">
        <v>374</v>
      </c>
      <c r="H999" s="35" t="s">
        <v>380</v>
      </c>
      <c r="I999" s="30" t="s">
        <v>329</v>
      </c>
      <c r="J999" s="30">
        <v>2</v>
      </c>
      <c r="K999" s="30" t="s">
        <v>35</v>
      </c>
      <c r="L999" s="30" t="s">
        <v>330</v>
      </c>
      <c r="M999" s="30" t="s">
        <v>325</v>
      </c>
      <c r="T999"/>
    </row>
    <row r="1000" spans="4:20" ht="15" customHeight="1">
      <c r="D1000" s="30" t="s">
        <v>399</v>
      </c>
      <c r="E1000" s="30" t="s">
        <v>349</v>
      </c>
      <c r="F1000" s="35" t="s">
        <v>402</v>
      </c>
      <c r="I1000" s="30" t="s">
        <v>351</v>
      </c>
      <c r="J1000" s="30" t="s">
        <v>352</v>
      </c>
      <c r="K1000" s="30" t="s">
        <v>35</v>
      </c>
      <c r="L1000" s="30" t="s">
        <v>324</v>
      </c>
      <c r="M1000" s="30" t="s">
        <v>325</v>
      </c>
      <c r="T1000"/>
    </row>
    <row r="1001" spans="4:20" ht="15" customHeight="1">
      <c r="D1001" s="30" t="s">
        <v>404</v>
      </c>
      <c r="E1001" s="30" t="s">
        <v>46</v>
      </c>
      <c r="F1001" s="35" t="s">
        <v>335</v>
      </c>
      <c r="I1001" s="30" t="s">
        <v>333</v>
      </c>
      <c r="J1001" s="30">
        <v>1</v>
      </c>
      <c r="K1001" s="30" t="s">
        <v>35</v>
      </c>
      <c r="L1001" s="30" t="s">
        <v>336</v>
      </c>
      <c r="M1001" s="30" t="s">
        <v>325</v>
      </c>
      <c r="T1001"/>
    </row>
    <row r="1002" spans="4:20" ht="15" customHeight="1">
      <c r="D1002" s="30" t="s">
        <v>404</v>
      </c>
      <c r="E1002" s="30" t="s">
        <v>337</v>
      </c>
      <c r="F1002" s="35" t="s">
        <v>381</v>
      </c>
      <c r="I1002" s="30" t="s">
        <v>333</v>
      </c>
      <c r="J1002" s="30">
        <v>1</v>
      </c>
      <c r="K1002" s="30" t="s">
        <v>35</v>
      </c>
      <c r="L1002" s="30" t="s">
        <v>336</v>
      </c>
      <c r="M1002" s="30" t="s">
        <v>325</v>
      </c>
      <c r="T1002"/>
    </row>
    <row r="1003" spans="4:20" ht="15" customHeight="1">
      <c r="D1003" s="30" t="s">
        <v>404</v>
      </c>
      <c r="E1003" s="30" t="s">
        <v>334</v>
      </c>
      <c r="F1003" s="35" t="s">
        <v>335</v>
      </c>
      <c r="I1003" s="30" t="s">
        <v>333</v>
      </c>
      <c r="J1003" s="30">
        <v>1</v>
      </c>
      <c r="K1003" s="30" t="s">
        <v>35</v>
      </c>
      <c r="L1003" s="30" t="s">
        <v>336</v>
      </c>
      <c r="M1003" s="30" t="s">
        <v>325</v>
      </c>
      <c r="T1003"/>
    </row>
    <row r="1004" spans="4:20" ht="15" customHeight="1">
      <c r="D1004" s="30" t="s">
        <v>404</v>
      </c>
      <c r="E1004" s="30" t="s">
        <v>338</v>
      </c>
      <c r="F1004" s="35" t="s">
        <v>339</v>
      </c>
      <c r="I1004" s="30" t="s">
        <v>333</v>
      </c>
      <c r="J1004" s="30">
        <v>1</v>
      </c>
      <c r="K1004" s="30" t="s">
        <v>35</v>
      </c>
      <c r="L1004" s="30" t="s">
        <v>107</v>
      </c>
      <c r="M1004" s="30" t="s">
        <v>325</v>
      </c>
      <c r="T1004"/>
    </row>
    <row r="1005" spans="4:20" ht="15" customHeight="1">
      <c r="D1005" s="30" t="s">
        <v>404</v>
      </c>
      <c r="E1005" s="30" t="s">
        <v>322</v>
      </c>
      <c r="G1005" s="35" t="s">
        <v>377</v>
      </c>
      <c r="H1005" s="35" t="s">
        <v>394</v>
      </c>
      <c r="I1005" s="30" t="s">
        <v>48</v>
      </c>
      <c r="J1005" s="30">
        <v>2</v>
      </c>
      <c r="K1005" s="30" t="s">
        <v>35</v>
      </c>
      <c r="L1005" s="30" t="s">
        <v>324</v>
      </c>
      <c r="M1005" s="30" t="s">
        <v>325</v>
      </c>
      <c r="T1005"/>
    </row>
    <row r="1006" spans="4:20" ht="15" customHeight="1">
      <c r="D1006" s="30" t="s">
        <v>404</v>
      </c>
      <c r="E1006" s="30" t="s">
        <v>45</v>
      </c>
      <c r="G1006" s="35" t="s">
        <v>403</v>
      </c>
      <c r="H1006" s="35" t="s">
        <v>398</v>
      </c>
      <c r="I1006" s="30" t="s">
        <v>48</v>
      </c>
      <c r="J1006" s="30">
        <v>2</v>
      </c>
      <c r="K1006" s="30" t="s">
        <v>35</v>
      </c>
      <c r="L1006" s="30" t="s">
        <v>358</v>
      </c>
      <c r="M1006" s="30" t="s">
        <v>325</v>
      </c>
      <c r="T1006"/>
    </row>
    <row r="1007" spans="4:20" ht="15" customHeight="1">
      <c r="D1007" s="30" t="s">
        <v>404</v>
      </c>
      <c r="E1007" s="30" t="s">
        <v>331</v>
      </c>
      <c r="F1007" s="35" t="s">
        <v>345</v>
      </c>
      <c r="I1007" s="30" t="s">
        <v>333</v>
      </c>
      <c r="J1007" s="30">
        <v>1</v>
      </c>
      <c r="K1007" s="30" t="s">
        <v>35</v>
      </c>
      <c r="L1007" s="30" t="s">
        <v>107</v>
      </c>
      <c r="M1007" s="30" t="s">
        <v>325</v>
      </c>
      <c r="T1007"/>
    </row>
    <row r="1008" spans="4:20" ht="15" customHeight="1">
      <c r="D1008" s="30" t="s">
        <v>404</v>
      </c>
      <c r="E1008" s="30" t="s">
        <v>353</v>
      </c>
      <c r="F1008" s="35" t="s">
        <v>354</v>
      </c>
      <c r="I1008" s="30" t="s">
        <v>355</v>
      </c>
      <c r="J1008" s="30" t="s">
        <v>352</v>
      </c>
      <c r="K1008" s="30" t="s">
        <v>35</v>
      </c>
      <c r="L1008" s="30" t="s">
        <v>107</v>
      </c>
      <c r="M1008" s="30" t="s">
        <v>325</v>
      </c>
      <c r="T1008"/>
    </row>
    <row r="1009" spans="4:20" ht="15" customHeight="1">
      <c r="D1009" s="30" t="s">
        <v>404</v>
      </c>
      <c r="E1009" s="30" t="s">
        <v>326</v>
      </c>
      <c r="G1009" s="35" t="s">
        <v>380</v>
      </c>
      <c r="H1009" s="35" t="s">
        <v>405</v>
      </c>
      <c r="I1009" s="30" t="s">
        <v>329</v>
      </c>
      <c r="J1009" s="30">
        <v>2</v>
      </c>
      <c r="K1009" s="30" t="s">
        <v>35</v>
      </c>
      <c r="L1009" s="30" t="s">
        <v>330</v>
      </c>
      <c r="M1009" s="30" t="s">
        <v>325</v>
      </c>
      <c r="T1009"/>
    </row>
    <row r="1010" spans="4:20" ht="15" customHeight="1">
      <c r="D1010" s="30" t="s">
        <v>404</v>
      </c>
      <c r="E1010" s="30" t="s">
        <v>349</v>
      </c>
      <c r="F1010" s="35" t="s">
        <v>406</v>
      </c>
      <c r="I1010" s="30" t="s">
        <v>351</v>
      </c>
      <c r="J1010" s="30" t="s">
        <v>352</v>
      </c>
      <c r="K1010" s="30" t="s">
        <v>35</v>
      </c>
      <c r="L1010" s="30" t="s">
        <v>324</v>
      </c>
      <c r="M1010" s="30" t="s">
        <v>325</v>
      </c>
      <c r="T1010"/>
    </row>
    <row r="1011" spans="4:20" ht="15" customHeight="1">
      <c r="D1011" s="30" t="s">
        <v>521</v>
      </c>
      <c r="E1011" s="30" t="s">
        <v>46</v>
      </c>
      <c r="F1011" s="35" t="s">
        <v>335</v>
      </c>
      <c r="I1011" s="30" t="s">
        <v>333</v>
      </c>
      <c r="J1011" s="30">
        <v>1</v>
      </c>
      <c r="K1011" s="30" t="s">
        <v>35</v>
      </c>
      <c r="L1011" s="30" t="s">
        <v>336</v>
      </c>
      <c r="M1011" s="30" t="s">
        <v>325</v>
      </c>
      <c r="T1011"/>
    </row>
    <row r="1012" spans="4:20" ht="15" customHeight="1">
      <c r="D1012" s="30" t="s">
        <v>521</v>
      </c>
      <c r="E1012" s="30" t="s">
        <v>337</v>
      </c>
      <c r="F1012" s="35" t="s">
        <v>387</v>
      </c>
      <c r="I1012" s="30" t="s">
        <v>333</v>
      </c>
      <c r="J1012" s="30">
        <v>1</v>
      </c>
      <c r="K1012" s="30" t="s">
        <v>35</v>
      </c>
      <c r="L1012" s="30" t="s">
        <v>336</v>
      </c>
      <c r="M1012" s="30" t="s">
        <v>325</v>
      </c>
      <c r="T1012"/>
    </row>
    <row r="1013" spans="4:20" ht="15" customHeight="1">
      <c r="D1013" s="30" t="s">
        <v>521</v>
      </c>
      <c r="E1013" s="30" t="s">
        <v>334</v>
      </c>
      <c r="H1013" s="35" t="s">
        <v>386</v>
      </c>
      <c r="I1013" s="30" t="s">
        <v>333</v>
      </c>
      <c r="J1013" s="30">
        <v>1</v>
      </c>
      <c r="K1013" s="30" t="s">
        <v>35</v>
      </c>
      <c r="L1013" s="30" t="s">
        <v>336</v>
      </c>
      <c r="M1013" s="30" t="s">
        <v>325</v>
      </c>
      <c r="T1013"/>
    </row>
    <row r="1014" spans="4:20" ht="15" customHeight="1">
      <c r="D1014" s="30" t="s">
        <v>521</v>
      </c>
      <c r="E1014" s="30" t="s">
        <v>338</v>
      </c>
      <c r="F1014" s="35" t="s">
        <v>339</v>
      </c>
      <c r="I1014" s="30" t="s">
        <v>333</v>
      </c>
      <c r="J1014" s="30">
        <v>1</v>
      </c>
      <c r="K1014" s="30" t="s">
        <v>35</v>
      </c>
      <c r="L1014" s="30" t="s">
        <v>107</v>
      </c>
      <c r="M1014" s="30" t="s">
        <v>325</v>
      </c>
      <c r="T1014"/>
    </row>
    <row r="1015" spans="4:20" ht="15" customHeight="1">
      <c r="D1015" s="30" t="s">
        <v>521</v>
      </c>
      <c r="E1015" s="30" t="s">
        <v>322</v>
      </c>
      <c r="G1015" s="35" t="s">
        <v>449</v>
      </c>
      <c r="H1015" s="35" t="s">
        <v>479</v>
      </c>
      <c r="I1015" s="30" t="s">
        <v>48</v>
      </c>
      <c r="J1015" s="30">
        <v>2</v>
      </c>
      <c r="K1015" s="30" t="s">
        <v>35</v>
      </c>
      <c r="L1015" s="30" t="s">
        <v>324</v>
      </c>
      <c r="M1015" s="30" t="s">
        <v>325</v>
      </c>
      <c r="T1015"/>
    </row>
    <row r="1016" spans="4:20" ht="15" customHeight="1">
      <c r="D1016" s="30" t="s">
        <v>521</v>
      </c>
      <c r="E1016" s="30" t="s">
        <v>45</v>
      </c>
      <c r="G1016" s="35" t="s">
        <v>403</v>
      </c>
      <c r="H1016" s="35" t="s">
        <v>357</v>
      </c>
      <c r="I1016" s="30" t="s">
        <v>48</v>
      </c>
      <c r="J1016" s="30">
        <v>2</v>
      </c>
      <c r="K1016" s="30" t="s">
        <v>35</v>
      </c>
      <c r="L1016" s="30" t="s">
        <v>324</v>
      </c>
      <c r="M1016" s="30" t="s">
        <v>325</v>
      </c>
      <c r="T1016"/>
    </row>
    <row r="1017" spans="4:20" ht="15" customHeight="1">
      <c r="D1017" s="30" t="s">
        <v>521</v>
      </c>
      <c r="E1017" s="30" t="s">
        <v>331</v>
      </c>
      <c r="F1017" s="35" t="s">
        <v>345</v>
      </c>
      <c r="I1017" s="30" t="s">
        <v>333</v>
      </c>
      <c r="J1017" s="30">
        <v>1</v>
      </c>
      <c r="K1017" s="30" t="s">
        <v>35</v>
      </c>
      <c r="L1017" s="30" t="s">
        <v>107</v>
      </c>
      <c r="M1017" s="30" t="s">
        <v>325</v>
      </c>
      <c r="T1017"/>
    </row>
    <row r="1018" spans="4:20" ht="15" customHeight="1">
      <c r="D1018" s="30" t="s">
        <v>521</v>
      </c>
      <c r="E1018" s="30" t="s">
        <v>353</v>
      </c>
      <c r="F1018" s="35" t="s">
        <v>354</v>
      </c>
      <c r="I1018" s="30" t="s">
        <v>355</v>
      </c>
      <c r="J1018" s="30" t="s">
        <v>352</v>
      </c>
      <c r="K1018" s="30" t="s">
        <v>35</v>
      </c>
      <c r="L1018" s="30" t="s">
        <v>107</v>
      </c>
      <c r="M1018" s="30" t="s">
        <v>325</v>
      </c>
      <c r="T1018"/>
    </row>
    <row r="1019" spans="4:20" ht="15" customHeight="1">
      <c r="D1019" s="30" t="s">
        <v>521</v>
      </c>
      <c r="E1019" s="30" t="s">
        <v>326</v>
      </c>
      <c r="G1019" s="35" t="s">
        <v>522</v>
      </c>
      <c r="H1019" s="35" t="s">
        <v>480</v>
      </c>
      <c r="I1019" s="30" t="s">
        <v>329</v>
      </c>
      <c r="J1019" s="30">
        <v>2</v>
      </c>
      <c r="K1019" s="30" t="s">
        <v>35</v>
      </c>
      <c r="L1019" s="30" t="s">
        <v>459</v>
      </c>
      <c r="M1019" s="30" t="s">
        <v>325</v>
      </c>
      <c r="T1019"/>
    </row>
    <row r="1020" spans="4:20" ht="15" customHeight="1">
      <c r="D1020" s="30" t="s">
        <v>521</v>
      </c>
      <c r="E1020" s="30" t="s">
        <v>349</v>
      </c>
      <c r="F1020" s="35" t="s">
        <v>523</v>
      </c>
      <c r="I1020" s="30" t="s">
        <v>351</v>
      </c>
      <c r="J1020" s="30" t="s">
        <v>352</v>
      </c>
      <c r="K1020" s="30" t="s">
        <v>35</v>
      </c>
      <c r="L1020" s="30" t="s">
        <v>324</v>
      </c>
      <c r="M1020" s="30" t="s">
        <v>325</v>
      </c>
      <c r="T1020"/>
    </row>
    <row r="1021" spans="4:20" ht="15" customHeight="1">
      <c r="D1021" s="30" t="s">
        <v>407</v>
      </c>
      <c r="E1021" s="30" t="s">
        <v>46</v>
      </c>
      <c r="F1021" s="35" t="s">
        <v>335</v>
      </c>
      <c r="I1021" s="30" t="s">
        <v>333</v>
      </c>
      <c r="J1021" s="30">
        <v>1</v>
      </c>
      <c r="K1021" s="30" t="s">
        <v>35</v>
      </c>
      <c r="L1021" s="30" t="s">
        <v>336</v>
      </c>
      <c r="M1021" s="30" t="s">
        <v>325</v>
      </c>
      <c r="T1021"/>
    </row>
    <row r="1022" spans="4:20" ht="15" customHeight="1">
      <c r="D1022" s="30" t="s">
        <v>407</v>
      </c>
      <c r="E1022" s="30" t="s">
        <v>337</v>
      </c>
      <c r="F1022" s="35" t="s">
        <v>368</v>
      </c>
      <c r="I1022" s="30" t="s">
        <v>333</v>
      </c>
      <c r="J1022" s="30">
        <v>1</v>
      </c>
      <c r="K1022" s="30" t="s">
        <v>35</v>
      </c>
      <c r="L1022" s="30" t="s">
        <v>336</v>
      </c>
      <c r="M1022" s="30" t="s">
        <v>325</v>
      </c>
      <c r="T1022"/>
    </row>
    <row r="1023" spans="4:20" ht="15" customHeight="1">
      <c r="D1023" s="30" t="s">
        <v>407</v>
      </c>
      <c r="E1023" s="30" t="s">
        <v>334</v>
      </c>
      <c r="H1023" s="35" t="s">
        <v>386</v>
      </c>
      <c r="I1023" s="30" t="s">
        <v>333</v>
      </c>
      <c r="J1023" s="30">
        <v>1</v>
      </c>
      <c r="K1023" s="30" t="s">
        <v>35</v>
      </c>
      <c r="L1023" s="30" t="s">
        <v>336</v>
      </c>
      <c r="M1023" s="30" t="s">
        <v>325</v>
      </c>
      <c r="T1023"/>
    </row>
    <row r="1024" spans="4:20" ht="15" customHeight="1">
      <c r="D1024" s="30" t="s">
        <v>407</v>
      </c>
      <c r="E1024" s="30" t="s">
        <v>338</v>
      </c>
      <c r="F1024" s="35" t="s">
        <v>339</v>
      </c>
      <c r="I1024" s="30" t="s">
        <v>333</v>
      </c>
      <c r="J1024" s="30">
        <v>1</v>
      </c>
      <c r="K1024" s="30" t="s">
        <v>35</v>
      </c>
      <c r="L1024" s="30" t="s">
        <v>107</v>
      </c>
      <c r="M1024" s="30" t="s">
        <v>325</v>
      </c>
      <c r="T1024"/>
    </row>
    <row r="1025" spans="4:20" ht="15" customHeight="1">
      <c r="D1025" s="30" t="s">
        <v>407</v>
      </c>
      <c r="E1025" s="30" t="s">
        <v>322</v>
      </c>
      <c r="G1025" s="35" t="s">
        <v>390</v>
      </c>
      <c r="H1025" s="35" t="s">
        <v>400</v>
      </c>
      <c r="I1025" s="30" t="s">
        <v>48</v>
      </c>
      <c r="J1025" s="30">
        <v>2</v>
      </c>
      <c r="K1025" s="30" t="s">
        <v>35</v>
      </c>
      <c r="L1025" s="30" t="s">
        <v>324</v>
      </c>
      <c r="M1025" s="30" t="s">
        <v>325</v>
      </c>
      <c r="T1025"/>
    </row>
    <row r="1026" spans="4:20" ht="15.75" customHeight="1">
      <c r="D1026" s="30" t="s">
        <v>407</v>
      </c>
      <c r="E1026" s="30" t="s">
        <v>45</v>
      </c>
      <c r="G1026" s="35" t="s">
        <v>378</v>
      </c>
      <c r="H1026" s="35" t="s">
        <v>379</v>
      </c>
      <c r="I1026" s="30" t="s">
        <v>48</v>
      </c>
      <c r="J1026" s="30">
        <v>2</v>
      </c>
      <c r="K1026" s="30" t="s">
        <v>35</v>
      </c>
      <c r="L1026" s="30" t="s">
        <v>358</v>
      </c>
      <c r="M1026" s="30" t="s">
        <v>325</v>
      </c>
      <c r="T1026"/>
    </row>
    <row r="1027" spans="4:20" ht="15" customHeight="1">
      <c r="D1027" s="30" t="s">
        <v>407</v>
      </c>
      <c r="E1027" s="30" t="s">
        <v>331</v>
      </c>
      <c r="F1027" s="35" t="s">
        <v>345</v>
      </c>
      <c r="I1027" s="30" t="s">
        <v>333</v>
      </c>
      <c r="J1027" s="30">
        <v>1</v>
      </c>
      <c r="K1027" s="30" t="s">
        <v>35</v>
      </c>
      <c r="L1027" s="30" t="s">
        <v>107</v>
      </c>
      <c r="M1027" s="30" t="s">
        <v>325</v>
      </c>
      <c r="T1027"/>
    </row>
    <row r="1028" spans="4:20" ht="15" customHeight="1">
      <c r="D1028" s="30" t="s">
        <v>407</v>
      </c>
      <c r="E1028" s="30" t="s">
        <v>353</v>
      </c>
      <c r="F1028" s="35" t="s">
        <v>354</v>
      </c>
      <c r="I1028" s="30" t="s">
        <v>355</v>
      </c>
      <c r="J1028" s="30" t="s">
        <v>352</v>
      </c>
      <c r="K1028" s="30" t="s">
        <v>35</v>
      </c>
      <c r="L1028" s="30" t="s">
        <v>107</v>
      </c>
      <c r="M1028" s="30" t="s">
        <v>325</v>
      </c>
      <c r="T1028"/>
    </row>
    <row r="1029" spans="4:20" ht="15" customHeight="1">
      <c r="D1029" s="30" t="s">
        <v>407</v>
      </c>
      <c r="E1029" s="30" t="s">
        <v>326</v>
      </c>
      <c r="G1029" s="35" t="s">
        <v>367</v>
      </c>
      <c r="H1029" s="35" t="s">
        <v>408</v>
      </c>
      <c r="I1029" s="30" t="s">
        <v>329</v>
      </c>
      <c r="J1029" s="30">
        <v>2</v>
      </c>
      <c r="K1029" s="30" t="s">
        <v>35</v>
      </c>
      <c r="L1029" s="30" t="s">
        <v>330</v>
      </c>
      <c r="M1029" s="30" t="s">
        <v>325</v>
      </c>
      <c r="T1029"/>
    </row>
    <row r="1030" spans="4:20" ht="15.75" customHeight="1">
      <c r="D1030" s="30" t="s">
        <v>407</v>
      </c>
      <c r="E1030" s="30" t="s">
        <v>349</v>
      </c>
      <c r="F1030" s="35" t="s">
        <v>402</v>
      </c>
      <c r="I1030" s="30" t="s">
        <v>351</v>
      </c>
      <c r="J1030" s="30" t="s">
        <v>352</v>
      </c>
      <c r="K1030" s="30" t="s">
        <v>35</v>
      </c>
      <c r="L1030" s="30" t="s">
        <v>324</v>
      </c>
      <c r="M1030" s="30" t="s">
        <v>325</v>
      </c>
      <c r="T1030"/>
    </row>
    <row r="1031" spans="4:20" ht="15" customHeight="1">
      <c r="D1031" s="30" t="s">
        <v>409</v>
      </c>
      <c r="E1031" s="30" t="s">
        <v>46</v>
      </c>
      <c r="F1031" s="35" t="s">
        <v>335</v>
      </c>
      <c r="I1031" s="30" t="s">
        <v>333</v>
      </c>
      <c r="J1031" s="30">
        <v>1</v>
      </c>
      <c r="K1031" s="30" t="s">
        <v>35</v>
      </c>
      <c r="L1031" s="30" t="s">
        <v>336</v>
      </c>
      <c r="M1031" s="30" t="s">
        <v>325</v>
      </c>
      <c r="T1031"/>
    </row>
    <row r="1032" spans="4:20" ht="15" customHeight="1">
      <c r="D1032" s="30" t="s">
        <v>409</v>
      </c>
      <c r="E1032" s="30" t="s">
        <v>337</v>
      </c>
      <c r="F1032" s="35" t="s">
        <v>381</v>
      </c>
      <c r="I1032" s="30" t="s">
        <v>333</v>
      </c>
      <c r="J1032" s="30">
        <v>1</v>
      </c>
      <c r="K1032" s="30" t="s">
        <v>35</v>
      </c>
      <c r="L1032" s="30" t="s">
        <v>336</v>
      </c>
      <c r="M1032" s="30" t="s">
        <v>325</v>
      </c>
      <c r="T1032"/>
    </row>
    <row r="1033" spans="4:20" ht="15" customHeight="1">
      <c r="D1033" s="30" t="s">
        <v>409</v>
      </c>
      <c r="E1033" s="30" t="s">
        <v>334</v>
      </c>
      <c r="H1033" s="35" t="s">
        <v>386</v>
      </c>
      <c r="I1033" s="30" t="s">
        <v>333</v>
      </c>
      <c r="J1033" s="30">
        <v>1</v>
      </c>
      <c r="K1033" s="30" t="s">
        <v>35</v>
      </c>
      <c r="L1033" s="30" t="s">
        <v>336</v>
      </c>
      <c r="M1033" s="30" t="s">
        <v>325</v>
      </c>
      <c r="T1033"/>
    </row>
    <row r="1034" spans="4:20" ht="15" customHeight="1">
      <c r="D1034" s="30" t="s">
        <v>409</v>
      </c>
      <c r="E1034" s="30" t="s">
        <v>338</v>
      </c>
      <c r="F1034" s="35" t="s">
        <v>339</v>
      </c>
      <c r="I1034" s="30" t="s">
        <v>333</v>
      </c>
      <c r="J1034" s="30">
        <v>1</v>
      </c>
      <c r="K1034" s="30" t="s">
        <v>35</v>
      </c>
      <c r="L1034" s="30" t="s">
        <v>107</v>
      </c>
      <c r="M1034" s="30" t="s">
        <v>325</v>
      </c>
      <c r="T1034"/>
    </row>
    <row r="1035" spans="4:20" ht="15" customHeight="1">
      <c r="D1035" s="30" t="s">
        <v>409</v>
      </c>
      <c r="E1035" s="30" t="s">
        <v>322</v>
      </c>
      <c r="G1035" s="35" t="s">
        <v>363</v>
      </c>
      <c r="H1035" s="35" t="s">
        <v>400</v>
      </c>
      <c r="I1035" s="30" t="s">
        <v>48</v>
      </c>
      <c r="J1035" s="30">
        <v>2</v>
      </c>
      <c r="K1035" s="30" t="s">
        <v>35</v>
      </c>
      <c r="L1035" s="30" t="s">
        <v>324</v>
      </c>
      <c r="M1035" s="30" t="s">
        <v>325</v>
      </c>
      <c r="T1035"/>
    </row>
    <row r="1036" spans="4:20" ht="15" customHeight="1">
      <c r="D1036" s="30" t="s">
        <v>409</v>
      </c>
      <c r="E1036" s="30" t="s">
        <v>45</v>
      </c>
      <c r="G1036" s="35" t="s">
        <v>378</v>
      </c>
      <c r="H1036" s="35" t="s">
        <v>379</v>
      </c>
      <c r="I1036" s="30" t="s">
        <v>48</v>
      </c>
      <c r="J1036" s="30">
        <v>2</v>
      </c>
      <c r="K1036" s="30" t="s">
        <v>35</v>
      </c>
      <c r="L1036" s="30" t="s">
        <v>358</v>
      </c>
      <c r="M1036" s="30" t="s">
        <v>325</v>
      </c>
      <c r="T1036"/>
    </row>
    <row r="1037" spans="4:20" ht="15" customHeight="1">
      <c r="D1037" s="30" t="s">
        <v>409</v>
      </c>
      <c r="E1037" s="30" t="s">
        <v>331</v>
      </c>
      <c r="F1037" s="35" t="s">
        <v>345</v>
      </c>
      <c r="I1037" s="30" t="s">
        <v>333</v>
      </c>
      <c r="J1037" s="30">
        <v>1</v>
      </c>
      <c r="K1037" s="30" t="s">
        <v>35</v>
      </c>
      <c r="L1037" s="30" t="s">
        <v>107</v>
      </c>
      <c r="M1037" s="30" t="s">
        <v>325</v>
      </c>
      <c r="T1037"/>
    </row>
    <row r="1038" spans="4:20" ht="15" customHeight="1">
      <c r="D1038" s="30" t="s">
        <v>409</v>
      </c>
      <c r="E1038" s="30" t="s">
        <v>353</v>
      </c>
      <c r="F1038" s="35" t="s">
        <v>354</v>
      </c>
      <c r="I1038" s="30" t="s">
        <v>355</v>
      </c>
      <c r="J1038" s="30" t="s">
        <v>352</v>
      </c>
      <c r="K1038" s="30" t="s">
        <v>35</v>
      </c>
      <c r="L1038" s="30" t="s">
        <v>107</v>
      </c>
      <c r="M1038" s="30" t="s">
        <v>325</v>
      </c>
      <c r="T1038"/>
    </row>
    <row r="1039" spans="4:20" ht="15" customHeight="1">
      <c r="D1039" s="30" t="s">
        <v>409</v>
      </c>
      <c r="E1039" s="30" t="s">
        <v>326</v>
      </c>
      <c r="G1039" s="35" t="s">
        <v>391</v>
      </c>
      <c r="H1039" s="35" t="s">
        <v>408</v>
      </c>
      <c r="I1039" s="30" t="s">
        <v>329</v>
      </c>
      <c r="J1039" s="30">
        <v>2</v>
      </c>
      <c r="K1039" s="30" t="s">
        <v>35</v>
      </c>
      <c r="L1039" s="30" t="s">
        <v>330</v>
      </c>
      <c r="M1039" s="30" t="s">
        <v>325</v>
      </c>
      <c r="T1039"/>
    </row>
    <row r="1040" spans="4:20" ht="15" customHeight="1">
      <c r="D1040" s="30" t="s">
        <v>409</v>
      </c>
      <c r="E1040" s="30" t="s">
        <v>349</v>
      </c>
      <c r="F1040" s="35" t="s">
        <v>410</v>
      </c>
      <c r="I1040" s="30" t="s">
        <v>351</v>
      </c>
      <c r="J1040" s="30" t="s">
        <v>352</v>
      </c>
      <c r="K1040" s="30" t="s">
        <v>35</v>
      </c>
      <c r="L1040" s="30" t="s">
        <v>324</v>
      </c>
      <c r="M1040" s="30" t="s">
        <v>325</v>
      </c>
      <c r="T1040"/>
    </row>
    <row r="1041" spans="4:20" ht="15" customHeight="1">
      <c r="D1041" s="30" t="s">
        <v>411</v>
      </c>
      <c r="E1041" s="30" t="s">
        <v>46</v>
      </c>
      <c r="F1041" s="35" t="s">
        <v>335</v>
      </c>
      <c r="I1041" s="30" t="s">
        <v>333</v>
      </c>
      <c r="J1041" s="30">
        <v>1</v>
      </c>
      <c r="K1041" s="30" t="s">
        <v>35</v>
      </c>
      <c r="L1041" s="30" t="s">
        <v>336</v>
      </c>
      <c r="M1041" s="30" t="s">
        <v>325</v>
      </c>
      <c r="T1041"/>
    </row>
    <row r="1042" spans="4:20" ht="15" customHeight="1">
      <c r="D1042" s="30" t="s">
        <v>411</v>
      </c>
      <c r="E1042" s="30" t="s">
        <v>337</v>
      </c>
      <c r="F1042" s="35" t="s">
        <v>415</v>
      </c>
      <c r="I1042" s="30" t="s">
        <v>333</v>
      </c>
      <c r="J1042" s="30">
        <v>1</v>
      </c>
      <c r="K1042" s="30" t="s">
        <v>35</v>
      </c>
      <c r="L1042" s="30" t="s">
        <v>336</v>
      </c>
      <c r="M1042" s="30" t="s">
        <v>325</v>
      </c>
      <c r="T1042"/>
    </row>
    <row r="1043" spans="4:20" ht="15" customHeight="1">
      <c r="D1043" s="30" t="s">
        <v>411</v>
      </c>
      <c r="E1043" s="30" t="s">
        <v>334</v>
      </c>
      <c r="F1043" s="35" t="s">
        <v>335</v>
      </c>
      <c r="I1043" s="30" t="s">
        <v>333</v>
      </c>
      <c r="J1043" s="30">
        <v>1</v>
      </c>
      <c r="K1043" s="30" t="s">
        <v>35</v>
      </c>
      <c r="L1043" s="30" t="s">
        <v>336</v>
      </c>
      <c r="M1043" s="30" t="s">
        <v>325</v>
      </c>
      <c r="T1043"/>
    </row>
    <row r="1044" spans="4:20" ht="15" customHeight="1">
      <c r="D1044" s="30" t="s">
        <v>411</v>
      </c>
      <c r="E1044" s="30" t="s">
        <v>338</v>
      </c>
      <c r="F1044" s="35" t="s">
        <v>339</v>
      </c>
      <c r="I1044" s="30" t="s">
        <v>333</v>
      </c>
      <c r="J1044" s="30">
        <v>1</v>
      </c>
      <c r="K1044" s="30" t="s">
        <v>35</v>
      </c>
      <c r="L1044" s="30" t="s">
        <v>107</v>
      </c>
      <c r="M1044" s="30" t="s">
        <v>325</v>
      </c>
      <c r="T1044"/>
    </row>
    <row r="1045" spans="4:20" ht="15" customHeight="1">
      <c r="D1045" s="30" t="s">
        <v>411</v>
      </c>
      <c r="E1045" s="30" t="s">
        <v>322</v>
      </c>
      <c r="G1045" s="35" t="s">
        <v>412</v>
      </c>
      <c r="H1045" s="35" t="s">
        <v>390</v>
      </c>
      <c r="I1045" s="30" t="s">
        <v>48</v>
      </c>
      <c r="J1045" s="30">
        <v>2</v>
      </c>
      <c r="K1045" s="30" t="s">
        <v>35</v>
      </c>
      <c r="L1045" s="30" t="s">
        <v>324</v>
      </c>
      <c r="M1045" s="30" t="s">
        <v>325</v>
      </c>
      <c r="T1045"/>
    </row>
    <row r="1046" spans="4:20" ht="15" customHeight="1">
      <c r="D1046" s="30" t="s">
        <v>411</v>
      </c>
      <c r="E1046" s="30" t="s">
        <v>45</v>
      </c>
      <c r="G1046" s="35" t="s">
        <v>364</v>
      </c>
      <c r="H1046" s="35" t="s">
        <v>378</v>
      </c>
      <c r="I1046" s="30" t="s">
        <v>48</v>
      </c>
      <c r="J1046" s="30">
        <v>2</v>
      </c>
      <c r="K1046" s="30" t="s">
        <v>35</v>
      </c>
      <c r="L1046" s="30" t="s">
        <v>358</v>
      </c>
      <c r="M1046" s="30" t="s">
        <v>325</v>
      </c>
      <c r="T1046"/>
    </row>
    <row r="1047" spans="4:20" ht="15" customHeight="1">
      <c r="D1047" s="30" t="s">
        <v>411</v>
      </c>
      <c r="E1047" s="30" t="s">
        <v>331</v>
      </c>
      <c r="F1047" s="35" t="s">
        <v>345</v>
      </c>
      <c r="I1047" s="30" t="s">
        <v>333</v>
      </c>
      <c r="J1047" s="30">
        <v>1</v>
      </c>
      <c r="K1047" s="30" t="s">
        <v>35</v>
      </c>
      <c r="L1047" s="30" t="s">
        <v>107</v>
      </c>
      <c r="M1047" s="30" t="s">
        <v>325</v>
      </c>
      <c r="T1047"/>
    </row>
    <row r="1048" spans="4:20" ht="15" customHeight="1">
      <c r="D1048" s="30" t="s">
        <v>411</v>
      </c>
      <c r="E1048" s="30" t="s">
        <v>353</v>
      </c>
      <c r="F1048" s="35" t="s">
        <v>354</v>
      </c>
      <c r="I1048" s="30" t="s">
        <v>355</v>
      </c>
      <c r="J1048" s="30" t="s">
        <v>352</v>
      </c>
      <c r="K1048" s="30" t="s">
        <v>35</v>
      </c>
      <c r="L1048" s="30" t="s">
        <v>107</v>
      </c>
      <c r="M1048" s="30" t="s">
        <v>325</v>
      </c>
      <c r="T1048"/>
    </row>
    <row r="1049" spans="4:20" ht="15" customHeight="1">
      <c r="D1049" s="30" t="s">
        <v>411</v>
      </c>
      <c r="E1049" s="30" t="s">
        <v>326</v>
      </c>
      <c r="G1049" s="35" t="s">
        <v>413</v>
      </c>
      <c r="H1049" s="35" t="s">
        <v>414</v>
      </c>
      <c r="I1049" s="30" t="s">
        <v>329</v>
      </c>
      <c r="J1049" s="30">
        <v>2</v>
      </c>
      <c r="K1049" s="30" t="s">
        <v>35</v>
      </c>
      <c r="L1049" s="30" t="s">
        <v>330</v>
      </c>
      <c r="M1049" s="30" t="s">
        <v>325</v>
      </c>
      <c r="T1049"/>
    </row>
    <row r="1050" spans="4:20" ht="15" customHeight="1">
      <c r="D1050" s="30" t="s">
        <v>411</v>
      </c>
      <c r="E1050" s="30" t="s">
        <v>349</v>
      </c>
      <c r="F1050" s="35" t="s">
        <v>416</v>
      </c>
      <c r="I1050" s="30" t="s">
        <v>351</v>
      </c>
      <c r="J1050" s="30" t="s">
        <v>352</v>
      </c>
      <c r="K1050" s="30" t="s">
        <v>35</v>
      </c>
      <c r="L1050" s="30" t="s">
        <v>324</v>
      </c>
      <c r="M1050" s="30" t="s">
        <v>325</v>
      </c>
      <c r="T1050"/>
    </row>
    <row r="1051" spans="4:20" ht="15" customHeight="1">
      <c r="D1051" s="30" t="s">
        <v>417</v>
      </c>
      <c r="E1051" s="30" t="s">
        <v>46</v>
      </c>
      <c r="F1051" s="35" t="s">
        <v>335</v>
      </c>
      <c r="I1051" s="30" t="s">
        <v>333</v>
      </c>
      <c r="J1051" s="30">
        <v>1</v>
      </c>
      <c r="K1051" s="30" t="s">
        <v>35</v>
      </c>
      <c r="L1051" s="30" t="s">
        <v>336</v>
      </c>
      <c r="M1051" s="30" t="s">
        <v>325</v>
      </c>
      <c r="T1051"/>
    </row>
    <row r="1052" spans="4:20" ht="15" customHeight="1">
      <c r="D1052" s="30" t="s">
        <v>417</v>
      </c>
      <c r="E1052" s="30" t="s">
        <v>337</v>
      </c>
      <c r="F1052" s="35" t="s">
        <v>368</v>
      </c>
      <c r="I1052" s="30" t="s">
        <v>333</v>
      </c>
      <c r="J1052" s="30">
        <v>1</v>
      </c>
      <c r="K1052" s="30" t="s">
        <v>35</v>
      </c>
      <c r="L1052" s="30" t="s">
        <v>336</v>
      </c>
      <c r="M1052" s="30" t="s">
        <v>325</v>
      </c>
      <c r="T1052"/>
    </row>
    <row r="1053" spans="4:20" ht="15" customHeight="1">
      <c r="D1053" s="30" t="s">
        <v>417</v>
      </c>
      <c r="E1053" s="30" t="s">
        <v>334</v>
      </c>
      <c r="F1053" s="35" t="s">
        <v>335</v>
      </c>
      <c r="I1053" s="30" t="s">
        <v>333</v>
      </c>
      <c r="J1053" s="30">
        <v>1</v>
      </c>
      <c r="K1053" s="30" t="s">
        <v>35</v>
      </c>
      <c r="L1053" s="30" t="s">
        <v>336</v>
      </c>
      <c r="M1053" s="30" t="s">
        <v>325</v>
      </c>
      <c r="T1053"/>
    </row>
    <row r="1054" spans="4:20" ht="15" customHeight="1">
      <c r="D1054" s="30" t="s">
        <v>417</v>
      </c>
      <c r="E1054" s="30" t="s">
        <v>338</v>
      </c>
      <c r="F1054" s="35" t="s">
        <v>339</v>
      </c>
      <c r="I1054" s="30" t="s">
        <v>333</v>
      </c>
      <c r="J1054" s="30">
        <v>1</v>
      </c>
      <c r="K1054" s="30" t="s">
        <v>35</v>
      </c>
      <c r="L1054" s="30" t="s">
        <v>107</v>
      </c>
      <c r="M1054" s="30" t="s">
        <v>325</v>
      </c>
      <c r="T1054"/>
    </row>
    <row r="1055" spans="4:20" ht="15" customHeight="1">
      <c r="D1055" s="30" t="s">
        <v>417</v>
      </c>
      <c r="E1055" s="30" t="s">
        <v>322</v>
      </c>
      <c r="G1055" s="35" t="s">
        <v>418</v>
      </c>
      <c r="H1055" s="35" t="s">
        <v>419</v>
      </c>
      <c r="I1055" s="30" t="s">
        <v>48</v>
      </c>
      <c r="J1055" s="30">
        <v>2</v>
      </c>
      <c r="K1055" s="30" t="s">
        <v>35</v>
      </c>
      <c r="L1055" s="30" t="s">
        <v>420</v>
      </c>
      <c r="M1055" s="30" t="s">
        <v>325</v>
      </c>
      <c r="T1055"/>
    </row>
    <row r="1056" spans="4:20" ht="15" customHeight="1">
      <c r="D1056" s="30" t="s">
        <v>417</v>
      </c>
      <c r="E1056" s="30" t="s">
        <v>45</v>
      </c>
      <c r="H1056" s="35" t="s">
        <v>423</v>
      </c>
      <c r="I1056" s="30" t="s">
        <v>48</v>
      </c>
      <c r="J1056" s="30">
        <v>2</v>
      </c>
      <c r="K1056" s="30" t="s">
        <v>35</v>
      </c>
      <c r="L1056" s="30" t="s">
        <v>422</v>
      </c>
      <c r="M1056" s="30" t="s">
        <v>325</v>
      </c>
      <c r="T1056"/>
    </row>
    <row r="1057" spans="4:20" ht="15" customHeight="1">
      <c r="D1057" s="30" t="s">
        <v>417</v>
      </c>
      <c r="E1057" s="30" t="s">
        <v>331</v>
      </c>
      <c r="F1057" s="35" t="s">
        <v>345</v>
      </c>
      <c r="I1057" s="30" t="s">
        <v>333</v>
      </c>
      <c r="J1057" s="30">
        <v>1</v>
      </c>
      <c r="K1057" s="30" t="s">
        <v>35</v>
      </c>
      <c r="L1057" s="30" t="s">
        <v>107</v>
      </c>
      <c r="M1057" s="30" t="s">
        <v>325</v>
      </c>
      <c r="T1057"/>
    </row>
    <row r="1058" spans="4:20" ht="15" customHeight="1">
      <c r="D1058" s="30" t="s">
        <v>417</v>
      </c>
      <c r="E1058" s="30" t="s">
        <v>353</v>
      </c>
      <c r="F1058" s="35" t="s">
        <v>354</v>
      </c>
      <c r="I1058" s="30" t="s">
        <v>355</v>
      </c>
      <c r="J1058" s="30" t="s">
        <v>352</v>
      </c>
      <c r="K1058" s="30" t="s">
        <v>35</v>
      </c>
      <c r="L1058" s="30" t="s">
        <v>107</v>
      </c>
      <c r="M1058" s="30" t="s">
        <v>325</v>
      </c>
      <c r="T1058"/>
    </row>
    <row r="1059" spans="4:20" ht="15" customHeight="1">
      <c r="D1059" s="30" t="s">
        <v>417</v>
      </c>
      <c r="E1059" s="30" t="s">
        <v>326</v>
      </c>
      <c r="G1059" s="35" t="s">
        <v>367</v>
      </c>
      <c r="H1059" s="35" t="s">
        <v>408</v>
      </c>
      <c r="I1059" s="30" t="s">
        <v>329</v>
      </c>
      <c r="J1059" s="30">
        <v>2</v>
      </c>
      <c r="K1059" s="30" t="s">
        <v>35</v>
      </c>
      <c r="L1059" s="30" t="s">
        <v>330</v>
      </c>
      <c r="M1059" s="30" t="s">
        <v>325</v>
      </c>
      <c r="T1059"/>
    </row>
    <row r="1060" spans="4:20" ht="15" customHeight="1">
      <c r="D1060" s="30" t="s">
        <v>417</v>
      </c>
      <c r="E1060" s="30" t="s">
        <v>349</v>
      </c>
      <c r="F1060" s="35" t="s">
        <v>421</v>
      </c>
      <c r="I1060" s="30" t="s">
        <v>351</v>
      </c>
      <c r="J1060" s="30" t="s">
        <v>352</v>
      </c>
      <c r="K1060" s="30" t="s">
        <v>35</v>
      </c>
      <c r="L1060" s="30" t="s">
        <v>422</v>
      </c>
      <c r="M1060" s="30" t="s">
        <v>325</v>
      </c>
      <c r="T1060"/>
    </row>
    <row r="1061" spans="4:20" ht="15" customHeight="1">
      <c r="D1061" s="30" t="s">
        <v>512</v>
      </c>
      <c r="E1061" s="30" t="s">
        <v>46</v>
      </c>
      <c r="F1061" s="35" t="s">
        <v>335</v>
      </c>
      <c r="I1061" s="30" t="s">
        <v>333</v>
      </c>
      <c r="J1061" s="30">
        <v>1</v>
      </c>
      <c r="K1061" s="30" t="s">
        <v>35</v>
      </c>
      <c r="L1061" s="30" t="s">
        <v>336</v>
      </c>
      <c r="M1061" s="30" t="s">
        <v>325</v>
      </c>
      <c r="T1061"/>
    </row>
    <row r="1062" spans="4:20" ht="15" customHeight="1">
      <c r="D1062" s="30" t="s">
        <v>512</v>
      </c>
      <c r="E1062" s="30" t="s">
        <v>337</v>
      </c>
      <c r="F1062" s="35" t="s">
        <v>381</v>
      </c>
      <c r="I1062" s="30" t="s">
        <v>333</v>
      </c>
      <c r="J1062" s="30">
        <v>1</v>
      </c>
      <c r="K1062" s="30" t="s">
        <v>35</v>
      </c>
      <c r="L1062" s="30" t="s">
        <v>336</v>
      </c>
      <c r="M1062" s="30" t="s">
        <v>325</v>
      </c>
      <c r="T1062"/>
    </row>
    <row r="1063" spans="4:20" ht="15" customHeight="1">
      <c r="D1063" s="30" t="s">
        <v>512</v>
      </c>
      <c r="E1063" s="30" t="s">
        <v>334</v>
      </c>
      <c r="F1063" s="35" t="s">
        <v>335</v>
      </c>
      <c r="I1063" s="30" t="s">
        <v>333</v>
      </c>
      <c r="J1063" s="30">
        <v>1</v>
      </c>
      <c r="K1063" s="30" t="s">
        <v>35</v>
      </c>
      <c r="L1063" s="30" t="s">
        <v>336</v>
      </c>
      <c r="M1063" s="30" t="s">
        <v>325</v>
      </c>
      <c r="T1063"/>
    </row>
    <row r="1064" spans="4:20" ht="15" customHeight="1">
      <c r="D1064" s="30" t="s">
        <v>512</v>
      </c>
      <c r="E1064" s="30" t="s">
        <v>338</v>
      </c>
      <c r="F1064" s="35" t="s">
        <v>339</v>
      </c>
      <c r="I1064" s="30" t="s">
        <v>333</v>
      </c>
      <c r="J1064" s="30">
        <v>1</v>
      </c>
      <c r="K1064" s="30" t="s">
        <v>35</v>
      </c>
      <c r="L1064" s="30" t="s">
        <v>107</v>
      </c>
      <c r="M1064" s="30" t="s">
        <v>325</v>
      </c>
      <c r="T1064"/>
    </row>
    <row r="1065" spans="4:20" ht="15" customHeight="1">
      <c r="D1065" s="30" t="s">
        <v>512</v>
      </c>
      <c r="E1065" s="30" t="s">
        <v>322</v>
      </c>
      <c r="G1065" s="35" t="s">
        <v>412</v>
      </c>
      <c r="H1065" s="35" t="s">
        <v>372</v>
      </c>
      <c r="I1065" s="30" t="s">
        <v>48</v>
      </c>
      <c r="J1065" s="30">
        <v>2</v>
      </c>
      <c r="K1065" s="30" t="s">
        <v>35</v>
      </c>
      <c r="L1065" s="30" t="s">
        <v>324</v>
      </c>
      <c r="M1065" s="30" t="s">
        <v>325</v>
      </c>
      <c r="T1065"/>
    </row>
    <row r="1066" spans="4:20" ht="15" customHeight="1">
      <c r="D1066" s="30" t="s">
        <v>512</v>
      </c>
      <c r="E1066" s="30" t="s">
        <v>45</v>
      </c>
      <c r="G1066" s="35" t="s">
        <v>364</v>
      </c>
      <c r="H1066" s="35" t="s">
        <v>403</v>
      </c>
      <c r="I1066" s="30" t="s">
        <v>48</v>
      </c>
      <c r="J1066" s="30">
        <v>2</v>
      </c>
      <c r="K1066" s="30" t="s">
        <v>35</v>
      </c>
      <c r="L1066" s="30" t="s">
        <v>358</v>
      </c>
      <c r="M1066" s="30" t="s">
        <v>325</v>
      </c>
      <c r="T1066"/>
    </row>
    <row r="1067" spans="4:20" ht="15" customHeight="1">
      <c r="D1067" s="30" t="s">
        <v>512</v>
      </c>
      <c r="E1067" s="30" t="s">
        <v>331</v>
      </c>
      <c r="F1067" s="35" t="s">
        <v>345</v>
      </c>
      <c r="I1067" s="30" t="s">
        <v>333</v>
      </c>
      <c r="J1067" s="30">
        <v>1</v>
      </c>
      <c r="K1067" s="30" t="s">
        <v>35</v>
      </c>
      <c r="L1067" s="30" t="s">
        <v>107</v>
      </c>
      <c r="M1067" s="30" t="s">
        <v>325</v>
      </c>
      <c r="T1067"/>
    </row>
    <row r="1068" spans="4:20" ht="15" customHeight="1">
      <c r="D1068" s="30" t="s">
        <v>512</v>
      </c>
      <c r="E1068" s="30" t="s">
        <v>326</v>
      </c>
      <c r="G1068" s="35" t="s">
        <v>513</v>
      </c>
      <c r="H1068" s="35" t="s">
        <v>471</v>
      </c>
      <c r="I1068" s="30" t="s">
        <v>329</v>
      </c>
      <c r="J1068" s="30">
        <v>2</v>
      </c>
      <c r="K1068" s="30" t="s">
        <v>35</v>
      </c>
      <c r="L1068" s="30" t="s">
        <v>459</v>
      </c>
      <c r="M1068" s="30" t="s">
        <v>325</v>
      </c>
      <c r="T1068"/>
    </row>
    <row r="1069" spans="4:20" ht="15" customHeight="1">
      <c r="D1069" s="30" t="s">
        <v>512</v>
      </c>
      <c r="E1069" s="30" t="s">
        <v>349</v>
      </c>
      <c r="F1069" s="35" t="s">
        <v>514</v>
      </c>
      <c r="I1069" s="30" t="s">
        <v>351</v>
      </c>
      <c r="J1069" s="30" t="s">
        <v>352</v>
      </c>
      <c r="K1069" s="30" t="s">
        <v>35</v>
      </c>
      <c r="L1069" s="30" t="s">
        <v>107</v>
      </c>
      <c r="M1069" s="30" t="s">
        <v>325</v>
      </c>
      <c r="T1069"/>
    </row>
    <row r="1070" spans="4:20" ht="15" customHeight="1">
      <c r="D1070" s="30" t="s">
        <v>636</v>
      </c>
      <c r="E1070" s="30" t="s">
        <v>46</v>
      </c>
      <c r="F1070" s="35" t="s">
        <v>335</v>
      </c>
      <c r="I1070" s="30" t="s">
        <v>333</v>
      </c>
      <c r="J1070" s="30">
        <v>1</v>
      </c>
      <c r="K1070" s="30" t="s">
        <v>35</v>
      </c>
      <c r="L1070" s="30" t="s">
        <v>336</v>
      </c>
      <c r="M1070" s="30" t="s">
        <v>325</v>
      </c>
      <c r="T1070"/>
    </row>
    <row r="1071" spans="4:20" ht="15" customHeight="1">
      <c r="D1071" s="30" t="s">
        <v>636</v>
      </c>
      <c r="E1071" s="30" t="s">
        <v>337</v>
      </c>
      <c r="F1071" s="35" t="s">
        <v>381</v>
      </c>
      <c r="I1071" s="30" t="s">
        <v>333</v>
      </c>
      <c r="J1071" s="30">
        <v>1</v>
      </c>
      <c r="K1071" s="30" t="s">
        <v>35</v>
      </c>
      <c r="L1071" s="30" t="s">
        <v>336</v>
      </c>
      <c r="M1071" s="30" t="s">
        <v>325</v>
      </c>
      <c r="T1071"/>
    </row>
    <row r="1072" spans="4:20" ht="15" customHeight="1">
      <c r="D1072" s="30" t="s">
        <v>636</v>
      </c>
      <c r="E1072" s="30" t="s">
        <v>334</v>
      </c>
      <c r="H1072" s="35" t="s">
        <v>386</v>
      </c>
      <c r="I1072" s="30" t="s">
        <v>333</v>
      </c>
      <c r="J1072" s="30">
        <v>1</v>
      </c>
      <c r="K1072" s="30" t="s">
        <v>35</v>
      </c>
      <c r="L1072" s="30" t="s">
        <v>336</v>
      </c>
      <c r="M1072" s="30" t="s">
        <v>325</v>
      </c>
      <c r="T1072"/>
    </row>
    <row r="1073" spans="4:20" ht="15" customHeight="1">
      <c r="D1073" s="30" t="s">
        <v>636</v>
      </c>
      <c r="E1073" s="30" t="s">
        <v>338</v>
      </c>
      <c r="F1073" s="35" t="s">
        <v>339</v>
      </c>
      <c r="I1073" s="30" t="s">
        <v>333</v>
      </c>
      <c r="J1073" s="30">
        <v>1</v>
      </c>
      <c r="K1073" s="30" t="s">
        <v>35</v>
      </c>
      <c r="L1073" s="30" t="s">
        <v>107</v>
      </c>
      <c r="M1073" s="30" t="s">
        <v>325</v>
      </c>
      <c r="T1073"/>
    </row>
    <row r="1074" spans="4:20" ht="15.75" customHeight="1">
      <c r="D1074" s="30" t="s">
        <v>636</v>
      </c>
      <c r="E1074" s="30" t="s">
        <v>322</v>
      </c>
      <c r="G1074" s="35" t="s">
        <v>390</v>
      </c>
      <c r="H1074" s="35" t="s">
        <v>400</v>
      </c>
      <c r="I1074" s="30" t="s">
        <v>48</v>
      </c>
      <c r="J1074" s="30">
        <v>2</v>
      </c>
      <c r="K1074" s="30" t="s">
        <v>35</v>
      </c>
      <c r="L1074" s="30" t="s">
        <v>324</v>
      </c>
      <c r="M1074" s="30" t="s">
        <v>325</v>
      </c>
      <c r="T1074"/>
    </row>
    <row r="1075" spans="4:20" ht="15" customHeight="1">
      <c r="D1075" s="30" t="s">
        <v>636</v>
      </c>
      <c r="E1075" s="30" t="s">
        <v>45</v>
      </c>
      <c r="G1075" s="35" t="s">
        <v>378</v>
      </c>
      <c r="H1075" s="35" t="s">
        <v>379</v>
      </c>
      <c r="I1075" s="30" t="s">
        <v>48</v>
      </c>
      <c r="J1075" s="30">
        <v>2</v>
      </c>
      <c r="K1075" s="30" t="s">
        <v>35</v>
      </c>
      <c r="L1075" s="30" t="s">
        <v>358</v>
      </c>
      <c r="M1075" s="30" t="s">
        <v>325</v>
      </c>
      <c r="T1075"/>
    </row>
    <row r="1076" spans="4:20" ht="15" customHeight="1">
      <c r="D1076" s="30" t="s">
        <v>636</v>
      </c>
      <c r="E1076" s="30" t="s">
        <v>331</v>
      </c>
      <c r="F1076" s="35" t="s">
        <v>345</v>
      </c>
      <c r="I1076" s="30" t="s">
        <v>333</v>
      </c>
      <c r="J1076" s="30">
        <v>1</v>
      </c>
      <c r="K1076" s="30" t="s">
        <v>35</v>
      </c>
      <c r="L1076" s="30" t="s">
        <v>107</v>
      </c>
      <c r="M1076" s="30" t="s">
        <v>325</v>
      </c>
      <c r="T1076"/>
    </row>
    <row r="1077" spans="4:20" ht="15" customHeight="1">
      <c r="D1077" s="30" t="s">
        <v>636</v>
      </c>
      <c r="E1077" s="30" t="s">
        <v>353</v>
      </c>
      <c r="F1077" s="35" t="s">
        <v>354</v>
      </c>
      <c r="I1077" s="30" t="s">
        <v>355</v>
      </c>
      <c r="J1077" s="30" t="s">
        <v>352</v>
      </c>
      <c r="K1077" s="30" t="s">
        <v>35</v>
      </c>
      <c r="L1077" s="30" t="s">
        <v>107</v>
      </c>
      <c r="M1077" s="30" t="s">
        <v>325</v>
      </c>
      <c r="T1077"/>
    </row>
    <row r="1078" spans="4:20" ht="15" customHeight="1">
      <c r="D1078" s="30" t="s">
        <v>636</v>
      </c>
      <c r="E1078" s="30" t="s">
        <v>326</v>
      </c>
      <c r="G1078" s="35" t="s">
        <v>493</v>
      </c>
      <c r="H1078" s="35" t="s">
        <v>494</v>
      </c>
      <c r="I1078" s="30" t="s">
        <v>329</v>
      </c>
      <c r="J1078" s="30">
        <v>2</v>
      </c>
      <c r="K1078" s="30" t="s">
        <v>35</v>
      </c>
      <c r="L1078" s="30" t="s">
        <v>459</v>
      </c>
      <c r="M1078" s="30" t="s">
        <v>325</v>
      </c>
      <c r="T1078"/>
    </row>
    <row r="1079" spans="4:20" ht="15" customHeight="1">
      <c r="D1079" s="30" t="s">
        <v>636</v>
      </c>
      <c r="E1079" s="30" t="s">
        <v>349</v>
      </c>
      <c r="F1079" s="35" t="s">
        <v>402</v>
      </c>
      <c r="I1079" s="30" t="s">
        <v>351</v>
      </c>
      <c r="J1079" s="30" t="s">
        <v>352</v>
      </c>
      <c r="K1079" s="30" t="s">
        <v>35</v>
      </c>
      <c r="L1079" s="30" t="s">
        <v>324</v>
      </c>
      <c r="M1079" s="30" t="s">
        <v>325</v>
      </c>
      <c r="T1079"/>
    </row>
    <row r="1080" spans="4:20" ht="15" customHeight="1">
      <c r="D1080" s="30" t="s">
        <v>566</v>
      </c>
      <c r="E1080" s="30" t="s">
        <v>46</v>
      </c>
      <c r="F1080" s="35" t="s">
        <v>335</v>
      </c>
      <c r="I1080" s="30" t="s">
        <v>333</v>
      </c>
      <c r="J1080" s="30">
        <v>1</v>
      </c>
      <c r="K1080" s="30" t="s">
        <v>35</v>
      </c>
      <c r="L1080" s="30" t="s">
        <v>336</v>
      </c>
      <c r="M1080" s="30" t="s">
        <v>325</v>
      </c>
      <c r="T1080"/>
    </row>
    <row r="1081" spans="4:20" ht="15" customHeight="1">
      <c r="D1081" s="30" t="s">
        <v>566</v>
      </c>
      <c r="E1081" s="30" t="s">
        <v>337</v>
      </c>
      <c r="F1081" s="35" t="s">
        <v>381</v>
      </c>
      <c r="I1081" s="30" t="s">
        <v>333</v>
      </c>
      <c r="J1081" s="30">
        <v>1</v>
      </c>
      <c r="K1081" s="30" t="s">
        <v>35</v>
      </c>
      <c r="L1081" s="30" t="s">
        <v>336</v>
      </c>
      <c r="M1081" s="30" t="s">
        <v>325</v>
      </c>
      <c r="T1081"/>
    </row>
    <row r="1082" spans="4:20" ht="15" customHeight="1">
      <c r="D1082" s="30" t="s">
        <v>566</v>
      </c>
      <c r="E1082" s="30" t="s">
        <v>334</v>
      </c>
      <c r="F1082" s="35" t="s">
        <v>335</v>
      </c>
      <c r="I1082" s="30" t="s">
        <v>333</v>
      </c>
      <c r="J1082" s="30">
        <v>1</v>
      </c>
      <c r="K1082" s="30" t="s">
        <v>35</v>
      </c>
      <c r="L1082" s="30" t="s">
        <v>336</v>
      </c>
      <c r="M1082" s="30" t="s">
        <v>325</v>
      </c>
      <c r="T1082"/>
    </row>
    <row r="1083" spans="4:20" ht="15" customHeight="1">
      <c r="D1083" s="30" t="s">
        <v>566</v>
      </c>
      <c r="E1083" s="30" t="s">
        <v>338</v>
      </c>
      <c r="F1083" s="35" t="s">
        <v>339</v>
      </c>
      <c r="I1083" s="30" t="s">
        <v>333</v>
      </c>
      <c r="J1083" s="30">
        <v>1</v>
      </c>
      <c r="K1083" s="30" t="s">
        <v>35</v>
      </c>
      <c r="L1083" s="30" t="s">
        <v>107</v>
      </c>
      <c r="M1083" s="30" t="s">
        <v>325</v>
      </c>
      <c r="T1083"/>
    </row>
    <row r="1084" spans="4:20" ht="15" customHeight="1">
      <c r="D1084" s="30" t="s">
        <v>566</v>
      </c>
      <c r="E1084" s="30" t="s">
        <v>322</v>
      </c>
      <c r="G1084" s="35" t="s">
        <v>384</v>
      </c>
      <c r="H1084" s="35" t="s">
        <v>426</v>
      </c>
      <c r="I1084" s="30" t="s">
        <v>48</v>
      </c>
      <c r="J1084" s="30">
        <v>2</v>
      </c>
      <c r="K1084" s="30" t="s">
        <v>35</v>
      </c>
      <c r="L1084" s="30" t="s">
        <v>324</v>
      </c>
      <c r="M1084" s="30" t="s">
        <v>325</v>
      </c>
      <c r="T1084"/>
    </row>
    <row r="1085" spans="4:20" ht="15" customHeight="1">
      <c r="D1085" s="30" t="s">
        <v>566</v>
      </c>
      <c r="E1085" s="30" t="s">
        <v>567</v>
      </c>
      <c r="G1085" s="35" t="s">
        <v>568</v>
      </c>
      <c r="H1085" s="35" t="s">
        <v>569</v>
      </c>
      <c r="I1085" s="30" t="s">
        <v>48</v>
      </c>
      <c r="J1085" s="30">
        <v>2</v>
      </c>
      <c r="K1085" s="30" t="s">
        <v>35</v>
      </c>
      <c r="L1085" s="30" t="s">
        <v>469</v>
      </c>
      <c r="M1085" s="30" t="s">
        <v>325</v>
      </c>
      <c r="T1085"/>
    </row>
    <row r="1086" spans="4:20" ht="15" customHeight="1">
      <c r="D1086" s="30" t="s">
        <v>566</v>
      </c>
      <c r="E1086" s="30" t="s">
        <v>45</v>
      </c>
      <c r="G1086" s="35" t="s">
        <v>430</v>
      </c>
      <c r="H1086" s="35" t="s">
        <v>403</v>
      </c>
      <c r="I1086" s="30" t="s">
        <v>48</v>
      </c>
      <c r="J1086" s="30">
        <v>2</v>
      </c>
      <c r="K1086" s="30" t="s">
        <v>35</v>
      </c>
      <c r="L1086" s="30" t="s">
        <v>358</v>
      </c>
      <c r="M1086" s="30" t="s">
        <v>325</v>
      </c>
      <c r="T1086"/>
    </row>
    <row r="1087" spans="4:20" ht="15" customHeight="1">
      <c r="D1087" s="30" t="s">
        <v>566</v>
      </c>
      <c r="E1087" s="30" t="s">
        <v>331</v>
      </c>
      <c r="F1087" s="35" t="s">
        <v>345</v>
      </c>
      <c r="I1087" s="30" t="s">
        <v>333</v>
      </c>
      <c r="J1087" s="30">
        <v>1</v>
      </c>
      <c r="K1087" s="30" t="s">
        <v>35</v>
      </c>
      <c r="L1087" s="30" t="s">
        <v>107</v>
      </c>
      <c r="M1087" s="30" t="s">
        <v>325</v>
      </c>
      <c r="T1087"/>
    </row>
    <row r="1088" spans="4:20" ht="15" customHeight="1">
      <c r="D1088" s="30" t="s">
        <v>566</v>
      </c>
      <c r="E1088" s="30" t="s">
        <v>353</v>
      </c>
      <c r="F1088" s="35" t="s">
        <v>354</v>
      </c>
      <c r="I1088" s="30" t="s">
        <v>355</v>
      </c>
      <c r="J1088" s="30" t="s">
        <v>352</v>
      </c>
      <c r="K1088" s="30" t="s">
        <v>35</v>
      </c>
      <c r="L1088" s="30" t="s">
        <v>107</v>
      </c>
      <c r="M1088" s="30" t="s">
        <v>325</v>
      </c>
      <c r="T1088"/>
    </row>
    <row r="1089" spans="4:20" ht="15" customHeight="1">
      <c r="D1089" s="30" t="s">
        <v>566</v>
      </c>
      <c r="E1089" s="30" t="s">
        <v>326</v>
      </c>
      <c r="G1089" s="35" t="s">
        <v>570</v>
      </c>
      <c r="H1089" s="35" t="s">
        <v>571</v>
      </c>
      <c r="I1089" s="30" t="s">
        <v>329</v>
      </c>
      <c r="J1089" s="30">
        <v>2</v>
      </c>
      <c r="K1089" s="30" t="s">
        <v>35</v>
      </c>
      <c r="L1089" s="30" t="s">
        <v>572</v>
      </c>
      <c r="M1089" s="30" t="s">
        <v>325</v>
      </c>
      <c r="T1089"/>
    </row>
    <row r="1090" spans="4:20" ht="15" customHeight="1">
      <c r="D1090" s="30" t="s">
        <v>566</v>
      </c>
      <c r="E1090" s="30" t="s">
        <v>349</v>
      </c>
      <c r="F1090" s="35" t="s">
        <v>573</v>
      </c>
      <c r="I1090" s="30" t="s">
        <v>351</v>
      </c>
      <c r="J1090" s="30" t="s">
        <v>352</v>
      </c>
      <c r="K1090" s="30" t="s">
        <v>35</v>
      </c>
      <c r="L1090" s="30" t="s">
        <v>324</v>
      </c>
      <c r="M1090" s="30" t="s">
        <v>325</v>
      </c>
      <c r="T1090"/>
    </row>
    <row r="1091" spans="4:20" ht="15" customHeight="1">
      <c r="D1091" s="30" t="s">
        <v>692</v>
      </c>
      <c r="E1091" s="30" t="s">
        <v>46</v>
      </c>
      <c r="F1091" s="35" t="s">
        <v>335</v>
      </c>
      <c r="I1091" s="30" t="s">
        <v>333</v>
      </c>
      <c r="J1091" s="30">
        <v>1</v>
      </c>
      <c r="K1091" s="30" t="s">
        <v>35</v>
      </c>
      <c r="L1091" s="30" t="s">
        <v>336</v>
      </c>
      <c r="M1091" s="30" t="s">
        <v>325</v>
      </c>
      <c r="T1091"/>
    </row>
    <row r="1092" spans="4:20" ht="15" customHeight="1">
      <c r="D1092" s="30" t="s">
        <v>692</v>
      </c>
      <c r="E1092" s="30" t="s">
        <v>337</v>
      </c>
      <c r="F1092" s="35" t="s">
        <v>381</v>
      </c>
      <c r="I1092" s="30" t="s">
        <v>333</v>
      </c>
      <c r="J1092" s="30">
        <v>1</v>
      </c>
      <c r="K1092" s="30" t="s">
        <v>35</v>
      </c>
      <c r="L1092" s="30" t="s">
        <v>336</v>
      </c>
      <c r="M1092" s="30" t="s">
        <v>325</v>
      </c>
      <c r="T1092"/>
    </row>
    <row r="1093" spans="4:20" ht="15" customHeight="1">
      <c r="D1093" s="30" t="s">
        <v>692</v>
      </c>
      <c r="E1093" s="30" t="s">
        <v>334</v>
      </c>
      <c r="F1093" s="35" t="s">
        <v>335</v>
      </c>
      <c r="I1093" s="30" t="s">
        <v>333</v>
      </c>
      <c r="J1093" s="30">
        <v>1</v>
      </c>
      <c r="K1093" s="30" t="s">
        <v>35</v>
      </c>
      <c r="L1093" s="30" t="s">
        <v>336</v>
      </c>
      <c r="M1093" s="30" t="s">
        <v>325</v>
      </c>
      <c r="T1093"/>
    </row>
    <row r="1094" spans="4:20">
      <c r="D1094" s="30" t="s">
        <v>692</v>
      </c>
      <c r="E1094" s="30" t="s">
        <v>338</v>
      </c>
      <c r="F1094" s="35" t="s">
        <v>339</v>
      </c>
      <c r="I1094" s="30" t="s">
        <v>333</v>
      </c>
      <c r="J1094" s="30">
        <v>1</v>
      </c>
      <c r="K1094" s="30" t="s">
        <v>35</v>
      </c>
      <c r="L1094" s="30" t="s">
        <v>107</v>
      </c>
      <c r="M1094" s="30" t="s">
        <v>325</v>
      </c>
      <c r="T1094"/>
    </row>
    <row r="1095" spans="4:20" ht="15" customHeight="1">
      <c r="D1095" s="30" t="s">
        <v>692</v>
      </c>
      <c r="E1095" s="30" t="s">
        <v>322</v>
      </c>
      <c r="G1095" s="35" t="s">
        <v>384</v>
      </c>
      <c r="H1095" s="35" t="s">
        <v>400</v>
      </c>
      <c r="I1095" s="30" t="s">
        <v>48</v>
      </c>
      <c r="J1095" s="30">
        <v>2</v>
      </c>
      <c r="K1095" s="30" t="s">
        <v>35</v>
      </c>
      <c r="L1095" s="30" t="s">
        <v>324</v>
      </c>
      <c r="M1095" s="30" t="s">
        <v>325</v>
      </c>
      <c r="T1095"/>
    </row>
    <row r="1096" spans="4:20" ht="15" customHeight="1">
      <c r="D1096" s="30" t="s">
        <v>692</v>
      </c>
      <c r="E1096" s="30" t="s">
        <v>567</v>
      </c>
      <c r="G1096" s="35" t="s">
        <v>568</v>
      </c>
      <c r="H1096" s="35" t="s">
        <v>569</v>
      </c>
      <c r="I1096" s="30" t="s">
        <v>48</v>
      </c>
      <c r="J1096" s="30">
        <v>2</v>
      </c>
      <c r="K1096" s="30" t="s">
        <v>35</v>
      </c>
      <c r="L1096" s="30" t="s">
        <v>469</v>
      </c>
      <c r="M1096" s="30" t="s">
        <v>325</v>
      </c>
      <c r="T1096"/>
    </row>
    <row r="1097" spans="4:20" ht="15" customHeight="1">
      <c r="D1097" s="30" t="s">
        <v>692</v>
      </c>
      <c r="E1097" s="30" t="s">
        <v>45</v>
      </c>
      <c r="G1097" s="35" t="s">
        <v>430</v>
      </c>
      <c r="H1097" s="35" t="s">
        <v>403</v>
      </c>
      <c r="I1097" s="30" t="s">
        <v>48</v>
      </c>
      <c r="J1097" s="30">
        <v>2</v>
      </c>
      <c r="K1097" s="30" t="s">
        <v>35</v>
      </c>
      <c r="L1097" s="30" t="s">
        <v>358</v>
      </c>
      <c r="M1097" s="30" t="s">
        <v>325</v>
      </c>
      <c r="T1097"/>
    </row>
    <row r="1098" spans="4:20" ht="15" customHeight="1">
      <c r="D1098" s="30" t="s">
        <v>692</v>
      </c>
      <c r="E1098" s="30" t="s">
        <v>331</v>
      </c>
      <c r="F1098" s="35" t="s">
        <v>345</v>
      </c>
      <c r="I1098" s="30" t="s">
        <v>333</v>
      </c>
      <c r="J1098" s="30">
        <v>1</v>
      </c>
      <c r="K1098" s="30" t="s">
        <v>35</v>
      </c>
      <c r="L1098" s="30" t="s">
        <v>107</v>
      </c>
      <c r="M1098" s="30" t="s">
        <v>325</v>
      </c>
      <c r="T1098"/>
    </row>
    <row r="1099" spans="4:20" ht="15" customHeight="1">
      <c r="D1099" s="30" t="s">
        <v>692</v>
      </c>
      <c r="E1099" s="30" t="s">
        <v>353</v>
      </c>
      <c r="F1099" s="35" t="s">
        <v>354</v>
      </c>
      <c r="I1099" s="30" t="s">
        <v>355</v>
      </c>
      <c r="J1099" s="30" t="s">
        <v>352</v>
      </c>
      <c r="K1099" s="30" t="s">
        <v>35</v>
      </c>
      <c r="L1099" s="30" t="s">
        <v>107</v>
      </c>
      <c r="M1099" s="30" t="s">
        <v>325</v>
      </c>
      <c r="T1099"/>
    </row>
    <row r="1100" spans="4:20" ht="15" customHeight="1">
      <c r="D1100" s="30" t="s">
        <v>692</v>
      </c>
      <c r="E1100" s="30" t="s">
        <v>326</v>
      </c>
      <c r="G1100" s="35" t="s">
        <v>693</v>
      </c>
      <c r="H1100" s="35" t="s">
        <v>428</v>
      </c>
      <c r="I1100" s="30" t="s">
        <v>329</v>
      </c>
      <c r="J1100" s="30">
        <v>2</v>
      </c>
      <c r="K1100" s="30" t="s">
        <v>35</v>
      </c>
      <c r="L1100" s="30" t="s">
        <v>330</v>
      </c>
      <c r="M1100" s="30" t="s">
        <v>325</v>
      </c>
      <c r="T1100"/>
    </row>
    <row r="1101" spans="4:20" ht="15" customHeight="1">
      <c r="D1101" s="30" t="s">
        <v>692</v>
      </c>
      <c r="E1101" s="30" t="s">
        <v>349</v>
      </c>
      <c r="F1101" s="35" t="s">
        <v>694</v>
      </c>
      <c r="I1101" s="30" t="s">
        <v>351</v>
      </c>
      <c r="J1101" s="30" t="s">
        <v>352</v>
      </c>
      <c r="K1101" s="30" t="s">
        <v>35</v>
      </c>
      <c r="L1101" s="30" t="s">
        <v>324</v>
      </c>
      <c r="M1101" s="30" t="s">
        <v>325</v>
      </c>
      <c r="T1101"/>
    </row>
    <row r="1102" spans="4:20" ht="15" customHeight="1">
      <c r="D1102" s="30" t="s">
        <v>557</v>
      </c>
      <c r="E1102" s="30" t="s">
        <v>46</v>
      </c>
      <c r="F1102" s="35" t="s">
        <v>335</v>
      </c>
      <c r="I1102" s="30" t="s">
        <v>333</v>
      </c>
      <c r="J1102" s="30">
        <v>1</v>
      </c>
      <c r="K1102" s="30" t="s">
        <v>35</v>
      </c>
      <c r="L1102" s="30" t="s">
        <v>336</v>
      </c>
      <c r="M1102" s="30" t="s">
        <v>325</v>
      </c>
      <c r="T1102"/>
    </row>
    <row r="1103" spans="4:20" ht="15" customHeight="1">
      <c r="D1103" s="30" t="s">
        <v>557</v>
      </c>
      <c r="E1103" s="30" t="s">
        <v>337</v>
      </c>
      <c r="F1103" s="35" t="s">
        <v>381</v>
      </c>
      <c r="I1103" s="30" t="s">
        <v>333</v>
      </c>
      <c r="J1103" s="30">
        <v>1</v>
      </c>
      <c r="K1103" s="30" t="s">
        <v>35</v>
      </c>
      <c r="L1103" s="30" t="s">
        <v>336</v>
      </c>
      <c r="M1103" s="30" t="s">
        <v>325</v>
      </c>
      <c r="T1103"/>
    </row>
    <row r="1104" spans="4:20" ht="15" customHeight="1">
      <c r="D1104" s="30" t="s">
        <v>557</v>
      </c>
      <c r="E1104" s="30" t="s">
        <v>334</v>
      </c>
      <c r="F1104" s="35" t="s">
        <v>335</v>
      </c>
      <c r="I1104" s="30" t="s">
        <v>333</v>
      </c>
      <c r="J1104" s="30">
        <v>1</v>
      </c>
      <c r="K1104" s="30" t="s">
        <v>35</v>
      </c>
      <c r="L1104" s="30" t="s">
        <v>336</v>
      </c>
      <c r="M1104" s="30" t="s">
        <v>325</v>
      </c>
      <c r="T1104"/>
    </row>
    <row r="1105" spans="4:20" ht="15" customHeight="1">
      <c r="D1105" s="30" t="s">
        <v>557</v>
      </c>
      <c r="E1105" s="30" t="s">
        <v>338</v>
      </c>
      <c r="F1105" s="35" t="s">
        <v>339</v>
      </c>
      <c r="I1105" s="30" t="s">
        <v>333</v>
      </c>
      <c r="J1105" s="30">
        <v>1</v>
      </c>
      <c r="K1105" s="30" t="s">
        <v>35</v>
      </c>
      <c r="L1105" s="30" t="s">
        <v>107</v>
      </c>
      <c r="M1105" s="30" t="s">
        <v>325</v>
      </c>
      <c r="T1105"/>
    </row>
    <row r="1106" spans="4:20" ht="15" customHeight="1">
      <c r="D1106" s="30" t="s">
        <v>557</v>
      </c>
      <c r="E1106" s="30" t="s">
        <v>322</v>
      </c>
      <c r="G1106" s="35" t="s">
        <v>400</v>
      </c>
      <c r="H1106" s="35" t="s">
        <v>394</v>
      </c>
      <c r="I1106" s="30" t="s">
        <v>48</v>
      </c>
      <c r="J1106" s="30">
        <v>2</v>
      </c>
      <c r="K1106" s="30" t="s">
        <v>35</v>
      </c>
      <c r="L1106" s="30" t="s">
        <v>324</v>
      </c>
      <c r="M1106" s="30" t="s">
        <v>325</v>
      </c>
      <c r="T1106"/>
    </row>
    <row r="1107" spans="4:20" ht="15" customHeight="1">
      <c r="D1107" s="30" t="s">
        <v>557</v>
      </c>
      <c r="E1107" s="30" t="s">
        <v>331</v>
      </c>
      <c r="F1107" s="35" t="s">
        <v>345</v>
      </c>
      <c r="I1107" s="30" t="s">
        <v>333</v>
      </c>
      <c r="J1107" s="30">
        <v>1</v>
      </c>
      <c r="K1107" s="30" t="s">
        <v>35</v>
      </c>
      <c r="L1107" s="30" t="s">
        <v>107</v>
      </c>
      <c r="M1107" s="30" t="s">
        <v>325</v>
      </c>
      <c r="T1107"/>
    </row>
    <row r="1108" spans="4:20" ht="15" customHeight="1">
      <c r="D1108" s="30" t="s">
        <v>557</v>
      </c>
      <c r="E1108" s="30" t="s">
        <v>353</v>
      </c>
      <c r="F1108" s="35" t="s">
        <v>354</v>
      </c>
      <c r="I1108" s="30" t="s">
        <v>355</v>
      </c>
      <c r="J1108" s="30" t="s">
        <v>352</v>
      </c>
      <c r="K1108" s="30" t="s">
        <v>35</v>
      </c>
      <c r="L1108" s="30" t="s">
        <v>107</v>
      </c>
      <c r="M1108" s="30" t="s">
        <v>325</v>
      </c>
      <c r="T1108"/>
    </row>
    <row r="1109" spans="4:20" ht="16.5" customHeight="1">
      <c r="D1109" s="30" t="s">
        <v>557</v>
      </c>
      <c r="E1109" s="30" t="s">
        <v>326</v>
      </c>
      <c r="G1109" s="35" t="s">
        <v>380</v>
      </c>
      <c r="H1109" s="35" t="s">
        <v>405</v>
      </c>
      <c r="I1109" s="30" t="s">
        <v>329</v>
      </c>
      <c r="J1109" s="30">
        <v>2</v>
      </c>
      <c r="K1109" s="30" t="s">
        <v>35</v>
      </c>
      <c r="L1109" s="30" t="s">
        <v>330</v>
      </c>
      <c r="M1109" s="30" t="s">
        <v>325</v>
      </c>
      <c r="T1109"/>
    </row>
    <row r="1110" spans="4:20" ht="15" customHeight="1">
      <c r="D1110" s="30" t="s">
        <v>557</v>
      </c>
      <c r="E1110" s="30" t="s">
        <v>349</v>
      </c>
      <c r="F1110" s="35" t="s">
        <v>558</v>
      </c>
      <c r="I1110" s="30" t="s">
        <v>351</v>
      </c>
      <c r="J1110" s="30" t="s">
        <v>352</v>
      </c>
      <c r="K1110" s="30" t="s">
        <v>35</v>
      </c>
      <c r="L1110" s="30" t="s">
        <v>324</v>
      </c>
      <c r="M1110" s="30" t="s">
        <v>325</v>
      </c>
      <c r="T1110"/>
    </row>
    <row r="1111" spans="4:20" ht="15" customHeight="1">
      <c r="D1111" s="30" t="s">
        <v>702</v>
      </c>
      <c r="E1111" s="30" t="s">
        <v>46</v>
      </c>
      <c r="F1111" s="35" t="s">
        <v>335</v>
      </c>
      <c r="I1111" s="30" t="s">
        <v>333</v>
      </c>
      <c r="J1111" s="30">
        <v>1</v>
      </c>
      <c r="K1111" s="30" t="s">
        <v>35</v>
      </c>
      <c r="L1111" s="30" t="s">
        <v>336</v>
      </c>
      <c r="M1111" s="30" t="s">
        <v>325</v>
      </c>
      <c r="T1111"/>
    </row>
    <row r="1112" spans="4:20" ht="15" customHeight="1">
      <c r="D1112" s="30" t="s">
        <v>702</v>
      </c>
      <c r="E1112" s="30" t="s">
        <v>337</v>
      </c>
      <c r="F1112" s="35" t="s">
        <v>368</v>
      </c>
      <c r="I1112" s="30" t="s">
        <v>333</v>
      </c>
      <c r="J1112" s="30">
        <v>1</v>
      </c>
      <c r="K1112" s="30" t="s">
        <v>35</v>
      </c>
      <c r="L1112" s="30" t="s">
        <v>336</v>
      </c>
      <c r="M1112" s="30" t="s">
        <v>325</v>
      </c>
      <c r="T1112"/>
    </row>
    <row r="1113" spans="4:20" ht="15" customHeight="1">
      <c r="D1113" s="30" t="s">
        <v>702</v>
      </c>
      <c r="E1113" s="30" t="s">
        <v>334</v>
      </c>
      <c r="F1113" s="35" t="s">
        <v>335</v>
      </c>
      <c r="I1113" s="30" t="s">
        <v>333</v>
      </c>
      <c r="J1113" s="30">
        <v>1</v>
      </c>
      <c r="K1113" s="30" t="s">
        <v>35</v>
      </c>
      <c r="L1113" s="30" t="s">
        <v>336</v>
      </c>
      <c r="M1113" s="30" t="s">
        <v>325</v>
      </c>
      <c r="T1113"/>
    </row>
    <row r="1114" spans="4:20" ht="15" customHeight="1">
      <c r="D1114" s="30" t="s">
        <v>702</v>
      </c>
      <c r="E1114" s="30" t="s">
        <v>338</v>
      </c>
      <c r="F1114" s="35" t="s">
        <v>339</v>
      </c>
      <c r="I1114" s="30" t="s">
        <v>333</v>
      </c>
      <c r="J1114" s="30">
        <v>1</v>
      </c>
      <c r="K1114" s="30" t="s">
        <v>35</v>
      </c>
      <c r="L1114" s="30" t="s">
        <v>107</v>
      </c>
      <c r="M1114" s="30" t="s">
        <v>325</v>
      </c>
      <c r="T1114"/>
    </row>
    <row r="1115" spans="4:20" ht="15" customHeight="1">
      <c r="D1115" s="30" t="s">
        <v>702</v>
      </c>
      <c r="E1115" s="30" t="s">
        <v>322</v>
      </c>
      <c r="G1115" s="35" t="s">
        <v>363</v>
      </c>
      <c r="H1115" s="35" t="s">
        <v>519</v>
      </c>
      <c r="I1115" s="30" t="s">
        <v>48</v>
      </c>
      <c r="J1115" s="30">
        <v>2</v>
      </c>
      <c r="K1115" s="30" t="s">
        <v>35</v>
      </c>
      <c r="L1115" s="30" t="s">
        <v>324</v>
      </c>
      <c r="M1115" s="30" t="s">
        <v>325</v>
      </c>
      <c r="T1115"/>
    </row>
    <row r="1116" spans="4:20" ht="15" customHeight="1">
      <c r="D1116" s="30" t="s">
        <v>702</v>
      </c>
      <c r="E1116" s="30" t="s">
        <v>45</v>
      </c>
      <c r="G1116" s="35" t="s">
        <v>430</v>
      </c>
      <c r="H1116" s="35" t="s">
        <v>356</v>
      </c>
      <c r="I1116" s="30" t="s">
        <v>48</v>
      </c>
      <c r="J1116" s="30">
        <v>2</v>
      </c>
      <c r="K1116" s="30" t="s">
        <v>35</v>
      </c>
      <c r="L1116" s="30" t="s">
        <v>358</v>
      </c>
      <c r="M1116" s="30" t="s">
        <v>325</v>
      </c>
      <c r="T1116"/>
    </row>
    <row r="1117" spans="4:20" ht="15" customHeight="1">
      <c r="D1117" s="30" t="s">
        <v>702</v>
      </c>
      <c r="E1117" s="30" t="s">
        <v>347</v>
      </c>
      <c r="G1117" s="35" t="s">
        <v>401</v>
      </c>
      <c r="I1117" s="30" t="s">
        <v>329</v>
      </c>
      <c r="J1117" s="30">
        <v>2</v>
      </c>
      <c r="K1117" s="30" t="s">
        <v>35</v>
      </c>
      <c r="L1117" s="30" t="s">
        <v>330</v>
      </c>
      <c r="M1117" s="30" t="s">
        <v>325</v>
      </c>
      <c r="T1117"/>
    </row>
    <row r="1118" spans="4:20" ht="14.25" customHeight="1">
      <c r="D1118" s="30" t="s">
        <v>702</v>
      </c>
      <c r="E1118" s="30" t="s">
        <v>331</v>
      </c>
      <c r="F1118" s="35" t="s">
        <v>345</v>
      </c>
      <c r="I1118" s="30" t="s">
        <v>333</v>
      </c>
      <c r="J1118" s="30">
        <v>1</v>
      </c>
      <c r="K1118" s="30" t="s">
        <v>35</v>
      </c>
      <c r="L1118" s="30" t="s">
        <v>107</v>
      </c>
      <c r="M1118" s="30" t="s">
        <v>325</v>
      </c>
      <c r="T1118"/>
    </row>
    <row r="1119" spans="4:20" ht="15" customHeight="1">
      <c r="D1119" s="30" t="s">
        <v>702</v>
      </c>
      <c r="E1119" s="30" t="s">
        <v>353</v>
      </c>
      <c r="F1119" s="35" t="s">
        <v>354</v>
      </c>
      <c r="I1119" s="30" t="s">
        <v>355</v>
      </c>
      <c r="J1119" s="30" t="s">
        <v>352</v>
      </c>
      <c r="K1119" s="30" t="s">
        <v>35</v>
      </c>
      <c r="L1119" s="30" t="s">
        <v>107</v>
      </c>
      <c r="M1119" s="30" t="s">
        <v>325</v>
      </c>
      <c r="T1119"/>
    </row>
    <row r="1120" spans="4:20" ht="15" customHeight="1">
      <c r="D1120" s="30" t="s">
        <v>702</v>
      </c>
      <c r="E1120" s="30" t="s">
        <v>326</v>
      </c>
      <c r="G1120" s="35" t="s">
        <v>703</v>
      </c>
      <c r="H1120" s="35" t="s">
        <v>704</v>
      </c>
      <c r="I1120" s="30" t="s">
        <v>329</v>
      </c>
      <c r="J1120" s="30">
        <v>2</v>
      </c>
      <c r="K1120" s="30" t="s">
        <v>35</v>
      </c>
      <c r="L1120" s="30" t="s">
        <v>572</v>
      </c>
      <c r="M1120" s="30" t="s">
        <v>325</v>
      </c>
      <c r="T1120"/>
    </row>
    <row r="1121" spans="4:20" ht="15" customHeight="1">
      <c r="D1121" s="30" t="s">
        <v>702</v>
      </c>
      <c r="E1121" s="30" t="s">
        <v>349</v>
      </c>
      <c r="F1121" s="35" t="s">
        <v>586</v>
      </c>
      <c r="I1121" s="30" t="s">
        <v>351</v>
      </c>
      <c r="J1121" s="30" t="s">
        <v>352</v>
      </c>
      <c r="K1121" s="30" t="s">
        <v>35</v>
      </c>
      <c r="L1121" s="30" t="s">
        <v>324</v>
      </c>
      <c r="M1121" s="30" t="s">
        <v>325</v>
      </c>
      <c r="T1121"/>
    </row>
    <row r="1122" spans="4:20" ht="15" customHeight="1">
      <c r="D1122" s="30" t="s">
        <v>424</v>
      </c>
      <c r="E1122" s="30" t="s">
        <v>46</v>
      </c>
      <c r="F1122" s="35" t="s">
        <v>335</v>
      </c>
      <c r="I1122" s="30" t="s">
        <v>333</v>
      </c>
      <c r="J1122" s="30">
        <v>1</v>
      </c>
      <c r="K1122" s="30" t="s">
        <v>35</v>
      </c>
      <c r="L1122" s="30" t="s">
        <v>336</v>
      </c>
      <c r="M1122" s="30" t="s">
        <v>325</v>
      </c>
      <c r="T1122"/>
    </row>
    <row r="1123" spans="4:20" ht="15" customHeight="1">
      <c r="D1123" s="30" t="s">
        <v>424</v>
      </c>
      <c r="E1123" s="30" t="s">
        <v>337</v>
      </c>
      <c r="F1123" s="35" t="s">
        <v>381</v>
      </c>
      <c r="I1123" s="30" t="s">
        <v>333</v>
      </c>
      <c r="J1123" s="30">
        <v>1</v>
      </c>
      <c r="K1123" s="30" t="s">
        <v>35</v>
      </c>
      <c r="L1123" s="30" t="s">
        <v>336</v>
      </c>
      <c r="M1123" s="30" t="s">
        <v>325</v>
      </c>
      <c r="T1123"/>
    </row>
    <row r="1124" spans="4:20" ht="15" customHeight="1">
      <c r="D1124" s="30" t="s">
        <v>424</v>
      </c>
      <c r="E1124" s="30" t="s">
        <v>334</v>
      </c>
      <c r="F1124" s="35" t="s">
        <v>335</v>
      </c>
      <c r="I1124" s="30" t="s">
        <v>333</v>
      </c>
      <c r="J1124" s="30">
        <v>1</v>
      </c>
      <c r="K1124" s="30" t="s">
        <v>35</v>
      </c>
      <c r="L1124" s="30" t="s">
        <v>336</v>
      </c>
      <c r="M1124" s="30" t="s">
        <v>325</v>
      </c>
      <c r="T1124"/>
    </row>
    <row r="1125" spans="4:20" ht="15" customHeight="1">
      <c r="D1125" s="30" t="s">
        <v>424</v>
      </c>
      <c r="E1125" s="30" t="s">
        <v>338</v>
      </c>
      <c r="F1125" s="35" t="s">
        <v>339</v>
      </c>
      <c r="I1125" s="30" t="s">
        <v>333</v>
      </c>
      <c r="J1125" s="30">
        <v>1</v>
      </c>
      <c r="K1125" s="30" t="s">
        <v>35</v>
      </c>
      <c r="L1125" s="30" t="s">
        <v>107</v>
      </c>
      <c r="M1125" s="30" t="s">
        <v>325</v>
      </c>
      <c r="T1125"/>
    </row>
    <row r="1126" spans="4:20" ht="15" customHeight="1">
      <c r="D1126" s="30" t="s">
        <v>424</v>
      </c>
      <c r="E1126" s="30" t="s">
        <v>322</v>
      </c>
      <c r="G1126" s="35" t="s">
        <v>425</v>
      </c>
      <c r="H1126" s="35" t="s">
        <v>426</v>
      </c>
      <c r="I1126" s="30" t="s">
        <v>48</v>
      </c>
      <c r="J1126" s="30">
        <v>2</v>
      </c>
      <c r="K1126" s="30" t="s">
        <v>35</v>
      </c>
      <c r="L1126" s="30" t="s">
        <v>324</v>
      </c>
      <c r="M1126" s="30" t="s">
        <v>325</v>
      </c>
      <c r="T1126"/>
    </row>
    <row r="1127" spans="4:20" ht="15" customHeight="1">
      <c r="D1127" s="30" t="s">
        <v>424</v>
      </c>
      <c r="E1127" s="30" t="s">
        <v>45</v>
      </c>
      <c r="G1127" s="35" t="s">
        <v>430</v>
      </c>
      <c r="H1127" s="35" t="s">
        <v>403</v>
      </c>
      <c r="I1127" s="30" t="s">
        <v>48</v>
      </c>
      <c r="J1127" s="30">
        <v>2</v>
      </c>
      <c r="K1127" s="30" t="s">
        <v>35</v>
      </c>
      <c r="L1127" s="30" t="s">
        <v>358</v>
      </c>
      <c r="M1127" s="30" t="s">
        <v>325</v>
      </c>
      <c r="T1127"/>
    </row>
    <row r="1128" spans="4:20" ht="15" customHeight="1">
      <c r="D1128" s="30" t="s">
        <v>424</v>
      </c>
      <c r="E1128" s="30" t="s">
        <v>331</v>
      </c>
      <c r="F1128" s="35" t="s">
        <v>345</v>
      </c>
      <c r="I1128" s="30" t="s">
        <v>333</v>
      </c>
      <c r="J1128" s="30">
        <v>1</v>
      </c>
      <c r="K1128" s="30" t="s">
        <v>35</v>
      </c>
      <c r="L1128" s="30" t="s">
        <v>107</v>
      </c>
      <c r="M1128" s="30" t="s">
        <v>325</v>
      </c>
      <c r="T1128"/>
    </row>
    <row r="1129" spans="4:20" ht="15" customHeight="1">
      <c r="D1129" s="30" t="s">
        <v>424</v>
      </c>
      <c r="E1129" s="30" t="s">
        <v>353</v>
      </c>
      <c r="F1129" s="35" t="s">
        <v>354</v>
      </c>
      <c r="I1129" s="30" t="s">
        <v>355</v>
      </c>
      <c r="J1129" s="30" t="s">
        <v>352</v>
      </c>
      <c r="K1129" s="30" t="s">
        <v>35</v>
      </c>
      <c r="L1129" s="30" t="s">
        <v>107</v>
      </c>
      <c r="M1129" s="30" t="s">
        <v>325</v>
      </c>
      <c r="T1129"/>
    </row>
    <row r="1130" spans="4:20" ht="15" customHeight="1">
      <c r="D1130" s="30" t="s">
        <v>424</v>
      </c>
      <c r="E1130" s="30" t="s">
        <v>326</v>
      </c>
      <c r="G1130" s="35" t="s">
        <v>427</v>
      </c>
      <c r="H1130" s="35" t="s">
        <v>428</v>
      </c>
      <c r="I1130" s="30" t="s">
        <v>329</v>
      </c>
      <c r="J1130" s="30">
        <v>2</v>
      </c>
      <c r="K1130" s="30" t="s">
        <v>35</v>
      </c>
      <c r="L1130" s="30" t="s">
        <v>330</v>
      </c>
      <c r="M1130" s="30" t="s">
        <v>325</v>
      </c>
      <c r="T1130"/>
    </row>
    <row r="1131" spans="4:20" ht="15" customHeight="1">
      <c r="D1131" s="30" t="s">
        <v>424</v>
      </c>
      <c r="E1131" s="30" t="s">
        <v>349</v>
      </c>
      <c r="F1131" s="35" t="s">
        <v>429</v>
      </c>
      <c r="I1131" s="30" t="s">
        <v>351</v>
      </c>
      <c r="J1131" s="30" t="s">
        <v>352</v>
      </c>
      <c r="K1131" s="30" t="s">
        <v>35</v>
      </c>
      <c r="L1131" s="30" t="s">
        <v>324</v>
      </c>
      <c r="M1131" s="30" t="s">
        <v>325</v>
      </c>
      <c r="T1131"/>
    </row>
    <row r="1132" spans="4:20" ht="15" customHeight="1">
      <c r="D1132" s="30" t="s">
        <v>431</v>
      </c>
      <c r="E1132" s="30" t="s">
        <v>46</v>
      </c>
      <c r="F1132" s="35" t="s">
        <v>335</v>
      </c>
      <c r="I1132" s="30" t="s">
        <v>333</v>
      </c>
      <c r="J1132" s="30">
        <v>1</v>
      </c>
      <c r="K1132" s="30" t="s">
        <v>35</v>
      </c>
      <c r="L1132" s="30" t="s">
        <v>336</v>
      </c>
      <c r="M1132" s="30" t="s">
        <v>325</v>
      </c>
      <c r="T1132"/>
    </row>
    <row r="1133" spans="4:20" ht="15" customHeight="1">
      <c r="D1133" s="30" t="s">
        <v>431</v>
      </c>
      <c r="E1133" s="30" t="s">
        <v>337</v>
      </c>
      <c r="F1133" s="35" t="s">
        <v>381</v>
      </c>
      <c r="I1133" s="30" t="s">
        <v>333</v>
      </c>
      <c r="J1133" s="30">
        <v>1</v>
      </c>
      <c r="K1133" s="30" t="s">
        <v>35</v>
      </c>
      <c r="L1133" s="30" t="s">
        <v>336</v>
      </c>
      <c r="M1133" s="30" t="s">
        <v>325</v>
      </c>
      <c r="T1133"/>
    </row>
    <row r="1134" spans="4:20" ht="15" customHeight="1">
      <c r="D1134" s="30" t="s">
        <v>431</v>
      </c>
      <c r="E1134" s="30" t="s">
        <v>334</v>
      </c>
      <c r="F1134" s="35" t="s">
        <v>335</v>
      </c>
      <c r="I1134" s="30" t="s">
        <v>333</v>
      </c>
      <c r="J1134" s="30">
        <v>1</v>
      </c>
      <c r="K1134" s="30" t="s">
        <v>35</v>
      </c>
      <c r="L1134" s="30" t="s">
        <v>336</v>
      </c>
      <c r="M1134" s="30" t="s">
        <v>325</v>
      </c>
      <c r="T1134"/>
    </row>
    <row r="1135" spans="4:20" ht="15" customHeight="1">
      <c r="D1135" s="30" t="s">
        <v>431</v>
      </c>
      <c r="E1135" s="30" t="s">
        <v>338</v>
      </c>
      <c r="F1135" s="35" t="s">
        <v>339</v>
      </c>
      <c r="I1135" s="30" t="s">
        <v>333</v>
      </c>
      <c r="J1135" s="30">
        <v>1</v>
      </c>
      <c r="K1135" s="30" t="s">
        <v>35</v>
      </c>
      <c r="L1135" s="30" t="s">
        <v>107</v>
      </c>
      <c r="M1135" s="30" t="s">
        <v>325</v>
      </c>
      <c r="T1135"/>
    </row>
    <row r="1136" spans="4:20" ht="15" customHeight="1">
      <c r="D1136" s="30" t="s">
        <v>431</v>
      </c>
      <c r="E1136" s="30" t="s">
        <v>322</v>
      </c>
      <c r="G1136" s="35" t="s">
        <v>400</v>
      </c>
      <c r="H1136" s="35" t="s">
        <v>342</v>
      </c>
      <c r="I1136" s="30" t="s">
        <v>48</v>
      </c>
      <c r="J1136" s="30">
        <v>2</v>
      </c>
      <c r="K1136" s="30" t="s">
        <v>35</v>
      </c>
      <c r="L1136" s="30" t="s">
        <v>324</v>
      </c>
      <c r="M1136" s="30" t="s">
        <v>325</v>
      </c>
      <c r="T1136"/>
    </row>
    <row r="1137" spans="4:20" ht="15" customHeight="1">
      <c r="D1137" s="30" t="s">
        <v>431</v>
      </c>
      <c r="E1137" s="30" t="s">
        <v>45</v>
      </c>
      <c r="G1137" s="35" t="s">
        <v>403</v>
      </c>
      <c r="H1137" s="35" t="s">
        <v>398</v>
      </c>
      <c r="I1137" s="30" t="s">
        <v>48</v>
      </c>
      <c r="J1137" s="30">
        <v>2</v>
      </c>
      <c r="K1137" s="30" t="s">
        <v>35</v>
      </c>
      <c r="L1137" s="30" t="s">
        <v>358</v>
      </c>
      <c r="M1137" s="30" t="s">
        <v>325</v>
      </c>
      <c r="T1137"/>
    </row>
    <row r="1138" spans="4:20" ht="15" customHeight="1">
      <c r="D1138" s="30" t="s">
        <v>431</v>
      </c>
      <c r="E1138" s="30" t="s">
        <v>331</v>
      </c>
      <c r="F1138" s="35" t="s">
        <v>345</v>
      </c>
      <c r="I1138" s="30" t="s">
        <v>333</v>
      </c>
      <c r="J1138" s="30">
        <v>1</v>
      </c>
      <c r="K1138" s="30" t="s">
        <v>35</v>
      </c>
      <c r="L1138" s="30" t="s">
        <v>107</v>
      </c>
      <c r="M1138" s="30" t="s">
        <v>325</v>
      </c>
      <c r="T1138"/>
    </row>
    <row r="1139" spans="4:20" ht="15" customHeight="1">
      <c r="D1139" s="30" t="s">
        <v>431</v>
      </c>
      <c r="E1139" s="30" t="s">
        <v>353</v>
      </c>
      <c r="F1139" s="35" t="s">
        <v>354</v>
      </c>
      <c r="I1139" s="30" t="s">
        <v>355</v>
      </c>
      <c r="J1139" s="30" t="s">
        <v>352</v>
      </c>
      <c r="K1139" s="30" t="s">
        <v>35</v>
      </c>
      <c r="L1139" s="30" t="s">
        <v>107</v>
      </c>
      <c r="M1139" s="30" t="s">
        <v>325</v>
      </c>
      <c r="T1139"/>
    </row>
    <row r="1140" spans="4:20" ht="15" customHeight="1">
      <c r="D1140" s="30" t="s">
        <v>431</v>
      </c>
      <c r="E1140" s="30" t="s">
        <v>326</v>
      </c>
      <c r="G1140" s="35" t="s">
        <v>380</v>
      </c>
      <c r="H1140" s="35" t="s">
        <v>395</v>
      </c>
      <c r="I1140" s="30" t="s">
        <v>329</v>
      </c>
      <c r="J1140" s="30">
        <v>2</v>
      </c>
      <c r="K1140" s="30" t="s">
        <v>35</v>
      </c>
      <c r="L1140" s="30" t="s">
        <v>330</v>
      </c>
      <c r="M1140" s="30" t="s">
        <v>325</v>
      </c>
      <c r="T1140"/>
    </row>
    <row r="1141" spans="4:20" ht="15" customHeight="1">
      <c r="D1141" s="30" t="s">
        <v>431</v>
      </c>
      <c r="E1141" s="30" t="s">
        <v>349</v>
      </c>
      <c r="F1141" s="35" t="s">
        <v>432</v>
      </c>
      <c r="I1141" s="30" t="s">
        <v>351</v>
      </c>
      <c r="J1141" s="30" t="s">
        <v>352</v>
      </c>
      <c r="K1141" s="30" t="s">
        <v>35</v>
      </c>
      <c r="L1141" s="30" t="s">
        <v>324</v>
      </c>
      <c r="M1141" s="30" t="s">
        <v>325</v>
      </c>
      <c r="T1141"/>
    </row>
    <row r="1142" spans="4:20" ht="15" customHeight="1">
      <c r="D1142" s="30" t="s">
        <v>433</v>
      </c>
      <c r="E1142" s="30" t="s">
        <v>46</v>
      </c>
      <c r="H1142" s="35" t="s">
        <v>176</v>
      </c>
      <c r="I1142" s="30" t="s">
        <v>333</v>
      </c>
      <c r="J1142" s="30">
        <v>1</v>
      </c>
      <c r="K1142" s="30" t="s">
        <v>35</v>
      </c>
      <c r="L1142" s="30" t="s">
        <v>336</v>
      </c>
      <c r="M1142" s="30" t="s">
        <v>325</v>
      </c>
      <c r="T1142"/>
    </row>
    <row r="1143" spans="4:20" ht="15" customHeight="1">
      <c r="D1143" s="30" t="s">
        <v>433</v>
      </c>
      <c r="E1143" s="30" t="s">
        <v>47</v>
      </c>
      <c r="F1143" s="35" t="s">
        <v>335</v>
      </c>
      <c r="I1143" s="30" t="s">
        <v>333</v>
      </c>
      <c r="J1143" s="30">
        <v>1</v>
      </c>
      <c r="K1143" s="30" t="s">
        <v>35</v>
      </c>
      <c r="L1143" s="30" t="s">
        <v>336</v>
      </c>
      <c r="M1143" s="30" t="s">
        <v>325</v>
      </c>
      <c r="T1143"/>
    </row>
    <row r="1144" spans="4:20" ht="15" customHeight="1">
      <c r="D1144" s="30" t="s">
        <v>433</v>
      </c>
      <c r="E1144" s="30" t="s">
        <v>338</v>
      </c>
      <c r="F1144" s="35" t="s">
        <v>339</v>
      </c>
      <c r="I1144" s="30" t="s">
        <v>333</v>
      </c>
      <c r="J1144" s="30">
        <v>1</v>
      </c>
      <c r="K1144" s="30" t="s">
        <v>35</v>
      </c>
      <c r="L1144" s="30" t="s">
        <v>107</v>
      </c>
      <c r="M1144" s="30" t="s">
        <v>325</v>
      </c>
      <c r="T1144"/>
    </row>
    <row r="1145" spans="4:20" ht="15" customHeight="1">
      <c r="D1145" s="30" t="s">
        <v>433</v>
      </c>
      <c r="E1145" s="30" t="s">
        <v>322</v>
      </c>
      <c r="G1145" s="35" t="s">
        <v>425</v>
      </c>
      <c r="H1145" s="35" t="s">
        <v>426</v>
      </c>
      <c r="I1145" s="30" t="s">
        <v>48</v>
      </c>
      <c r="J1145" s="30">
        <v>2</v>
      </c>
      <c r="K1145" s="30" t="s">
        <v>35</v>
      </c>
      <c r="L1145" s="30" t="s">
        <v>324</v>
      </c>
      <c r="M1145" s="30" t="s">
        <v>325</v>
      </c>
      <c r="T1145"/>
    </row>
    <row r="1146" spans="4:20" ht="15" customHeight="1">
      <c r="D1146" s="30" t="s">
        <v>433</v>
      </c>
      <c r="E1146" s="30" t="s">
        <v>45</v>
      </c>
      <c r="F1146" s="35" t="s">
        <v>435</v>
      </c>
      <c r="I1146" s="30" t="s">
        <v>48</v>
      </c>
      <c r="J1146" s="30">
        <v>2</v>
      </c>
      <c r="K1146" s="30" t="s">
        <v>35</v>
      </c>
      <c r="L1146" s="30" t="s">
        <v>420</v>
      </c>
      <c r="M1146" s="30" t="s">
        <v>325</v>
      </c>
      <c r="T1146"/>
    </row>
    <row r="1147" spans="4:20" ht="15" customHeight="1">
      <c r="D1147" s="30" t="s">
        <v>433</v>
      </c>
      <c r="E1147" s="30" t="s">
        <v>347</v>
      </c>
      <c r="G1147" s="35" t="s">
        <v>434</v>
      </c>
      <c r="I1147" s="30" t="s">
        <v>329</v>
      </c>
      <c r="J1147" s="30">
        <v>2</v>
      </c>
      <c r="K1147" s="30" t="s">
        <v>35</v>
      </c>
      <c r="L1147" s="30" t="s">
        <v>330</v>
      </c>
      <c r="M1147" s="30" t="s">
        <v>325</v>
      </c>
      <c r="T1147"/>
    </row>
    <row r="1148" spans="4:20" ht="15" customHeight="1">
      <c r="D1148" s="30" t="s">
        <v>433</v>
      </c>
      <c r="E1148" s="30" t="s">
        <v>331</v>
      </c>
      <c r="F1148" s="35" t="s">
        <v>345</v>
      </c>
      <c r="I1148" s="30" t="s">
        <v>333</v>
      </c>
      <c r="J1148" s="30">
        <v>1</v>
      </c>
      <c r="K1148" s="30" t="s">
        <v>35</v>
      </c>
      <c r="L1148" s="30" t="s">
        <v>107</v>
      </c>
      <c r="M1148" s="30" t="s">
        <v>325</v>
      </c>
      <c r="T1148"/>
    </row>
    <row r="1149" spans="4:20" ht="15" customHeight="1">
      <c r="D1149" s="30" t="s">
        <v>433</v>
      </c>
      <c r="E1149" s="30" t="s">
        <v>326</v>
      </c>
      <c r="G1149" s="35" t="s">
        <v>427</v>
      </c>
      <c r="H1149" s="35" t="s">
        <v>428</v>
      </c>
      <c r="I1149" s="30" t="s">
        <v>329</v>
      </c>
      <c r="J1149" s="30">
        <v>2</v>
      </c>
      <c r="K1149" s="30" t="s">
        <v>35</v>
      </c>
      <c r="L1149" s="30" t="s">
        <v>330</v>
      </c>
      <c r="M1149" s="30" t="s">
        <v>325</v>
      </c>
      <c r="P1149" s="130"/>
      <c r="Q1149" s="130"/>
      <c r="R1149" s="130"/>
      <c r="S1149" s="130"/>
      <c r="T1149"/>
    </row>
    <row r="1150" spans="4:20" ht="15" customHeight="1">
      <c r="D1150" s="30" t="s">
        <v>433</v>
      </c>
      <c r="E1150" s="30" t="s">
        <v>349</v>
      </c>
      <c r="F1150" s="35" t="s">
        <v>429</v>
      </c>
      <c r="I1150" s="30" t="s">
        <v>351</v>
      </c>
      <c r="J1150" s="30" t="s">
        <v>352</v>
      </c>
      <c r="K1150" s="30" t="s">
        <v>35</v>
      </c>
      <c r="L1150" s="30" t="s">
        <v>324</v>
      </c>
      <c r="M1150" s="30" t="s">
        <v>325</v>
      </c>
      <c r="P1150" s="130"/>
      <c r="Q1150" s="130"/>
      <c r="R1150" s="130"/>
      <c r="S1150" s="130"/>
      <c r="T1150"/>
    </row>
    <row r="1151" spans="4:20" ht="15" customHeight="1">
      <c r="D1151" s="30" t="s">
        <v>436</v>
      </c>
      <c r="E1151" s="30" t="s">
        <v>46</v>
      </c>
      <c r="F1151" s="35" t="s">
        <v>335</v>
      </c>
      <c r="I1151" s="30" t="s">
        <v>333</v>
      </c>
      <c r="J1151" s="30">
        <v>1</v>
      </c>
      <c r="K1151" s="30" t="s">
        <v>35</v>
      </c>
      <c r="L1151" s="30" t="s">
        <v>336</v>
      </c>
      <c r="M1151" s="30" t="s">
        <v>325</v>
      </c>
      <c r="P1151" s="130"/>
      <c r="Q1151" s="130"/>
      <c r="R1151" s="130"/>
      <c r="S1151" s="130"/>
      <c r="T1151"/>
    </row>
    <row r="1152" spans="4:20" ht="15" customHeight="1">
      <c r="D1152" s="30" t="s">
        <v>436</v>
      </c>
      <c r="E1152" s="30" t="s">
        <v>337</v>
      </c>
      <c r="F1152" s="35" t="s">
        <v>381</v>
      </c>
      <c r="I1152" s="30" t="s">
        <v>333</v>
      </c>
      <c r="J1152" s="30">
        <v>1</v>
      </c>
      <c r="K1152" s="30" t="s">
        <v>35</v>
      </c>
      <c r="L1152" s="30" t="s">
        <v>336</v>
      </c>
      <c r="M1152" s="30" t="s">
        <v>325</v>
      </c>
      <c r="P1152" s="130"/>
      <c r="Q1152" s="130"/>
      <c r="R1152" s="130"/>
      <c r="S1152" s="130"/>
      <c r="T1152"/>
    </row>
    <row r="1153" spans="4:20" ht="15" customHeight="1">
      <c r="D1153" s="30" t="s">
        <v>436</v>
      </c>
      <c r="E1153" s="30" t="s">
        <v>334</v>
      </c>
      <c r="F1153" s="35" t="s">
        <v>335</v>
      </c>
      <c r="I1153" s="30" t="s">
        <v>333</v>
      </c>
      <c r="J1153" s="30">
        <v>1</v>
      </c>
      <c r="K1153" s="30" t="s">
        <v>35</v>
      </c>
      <c r="L1153" s="30" t="s">
        <v>336</v>
      </c>
      <c r="M1153" s="30" t="s">
        <v>325</v>
      </c>
      <c r="P1153" s="130"/>
      <c r="Q1153" s="130"/>
      <c r="R1153" s="130"/>
      <c r="S1153" s="130"/>
      <c r="T1153"/>
    </row>
    <row r="1154" spans="4:20" ht="15" customHeight="1">
      <c r="D1154" s="30" t="s">
        <v>436</v>
      </c>
      <c r="E1154" s="30" t="s">
        <v>338</v>
      </c>
      <c r="F1154" s="35" t="s">
        <v>339</v>
      </c>
      <c r="I1154" s="30" t="s">
        <v>333</v>
      </c>
      <c r="J1154" s="30">
        <v>1</v>
      </c>
      <c r="K1154" s="30" t="s">
        <v>35</v>
      </c>
      <c r="L1154" s="30" t="s">
        <v>107</v>
      </c>
      <c r="M1154" s="30" t="s">
        <v>325</v>
      </c>
      <c r="P1154" s="130"/>
      <c r="Q1154" s="130"/>
      <c r="R1154" s="130"/>
      <c r="S1154" s="130"/>
      <c r="T1154"/>
    </row>
    <row r="1155" spans="4:20" ht="15" customHeight="1">
      <c r="D1155" s="30" t="s">
        <v>436</v>
      </c>
      <c r="E1155" s="30" t="s">
        <v>322</v>
      </c>
      <c r="G1155" s="35" t="s">
        <v>437</v>
      </c>
      <c r="H1155" s="35" t="s">
        <v>438</v>
      </c>
      <c r="I1155" s="30" t="s">
        <v>48</v>
      </c>
      <c r="J1155" s="30">
        <v>2</v>
      </c>
      <c r="K1155" s="30" t="s">
        <v>35</v>
      </c>
      <c r="L1155" s="30" t="s">
        <v>324</v>
      </c>
      <c r="M1155" s="30" t="s">
        <v>325</v>
      </c>
      <c r="P1155" s="130"/>
      <c r="Q1155" s="130"/>
      <c r="R1155" s="130"/>
      <c r="S1155" s="130"/>
      <c r="T1155"/>
    </row>
    <row r="1156" spans="4:20" ht="15" customHeight="1">
      <c r="D1156" s="30" t="s">
        <v>436</v>
      </c>
      <c r="E1156" s="30" t="s">
        <v>45</v>
      </c>
      <c r="G1156" s="35" t="s">
        <v>379</v>
      </c>
      <c r="H1156" s="35" t="s">
        <v>442</v>
      </c>
      <c r="I1156" s="30" t="s">
        <v>48</v>
      </c>
      <c r="J1156" s="30">
        <v>2</v>
      </c>
      <c r="K1156" s="30" t="s">
        <v>35</v>
      </c>
      <c r="L1156" s="30" t="s">
        <v>358</v>
      </c>
      <c r="M1156" s="30" t="s">
        <v>325</v>
      </c>
      <c r="P1156" s="130"/>
      <c r="Q1156" s="130"/>
      <c r="R1156" s="130"/>
      <c r="S1156" s="130"/>
      <c r="T1156"/>
    </row>
    <row r="1157" spans="4:20" ht="15" customHeight="1">
      <c r="D1157" s="30" t="s">
        <v>436</v>
      </c>
      <c r="E1157" s="30" t="s">
        <v>331</v>
      </c>
      <c r="F1157" s="35" t="s">
        <v>345</v>
      </c>
      <c r="I1157" s="30" t="s">
        <v>333</v>
      </c>
      <c r="J1157" s="30">
        <v>1</v>
      </c>
      <c r="K1157" s="30" t="s">
        <v>35</v>
      </c>
      <c r="L1157" s="30" t="s">
        <v>107</v>
      </c>
      <c r="M1157" s="30" t="s">
        <v>325</v>
      </c>
      <c r="P1157" s="130"/>
      <c r="Q1157" s="130"/>
      <c r="R1157" s="130"/>
      <c r="S1157" s="130"/>
      <c r="T1157"/>
    </row>
    <row r="1158" spans="4:20" ht="15" customHeight="1">
      <c r="D1158" s="30" t="s">
        <v>436</v>
      </c>
      <c r="E1158" s="30" t="s">
        <v>353</v>
      </c>
      <c r="F1158" s="35" t="s">
        <v>354</v>
      </c>
      <c r="I1158" s="30" t="s">
        <v>355</v>
      </c>
      <c r="J1158" s="30" t="s">
        <v>352</v>
      </c>
      <c r="K1158" s="30" t="s">
        <v>35</v>
      </c>
      <c r="L1158" s="30" t="s">
        <v>107</v>
      </c>
      <c r="M1158" s="30" t="s">
        <v>325</v>
      </c>
      <c r="P1158" s="130"/>
      <c r="Q1158" s="130"/>
      <c r="R1158" s="130"/>
      <c r="S1158" s="130"/>
      <c r="T1158"/>
    </row>
    <row r="1159" spans="4:20">
      <c r="D1159" s="30" t="s">
        <v>436</v>
      </c>
      <c r="E1159" s="30" t="s">
        <v>326</v>
      </c>
      <c r="G1159" s="35" t="s">
        <v>439</v>
      </c>
      <c r="H1159" s="35" t="s">
        <v>440</v>
      </c>
      <c r="I1159" s="30" t="s">
        <v>329</v>
      </c>
      <c r="J1159" s="30">
        <v>2</v>
      </c>
      <c r="K1159" s="30" t="s">
        <v>35</v>
      </c>
      <c r="L1159" s="30" t="s">
        <v>330</v>
      </c>
      <c r="M1159" s="30" t="s">
        <v>325</v>
      </c>
      <c r="P1159" s="130"/>
      <c r="Q1159" s="130"/>
      <c r="R1159" s="130"/>
      <c r="S1159" s="130"/>
      <c r="T1159"/>
    </row>
    <row r="1160" spans="4:20">
      <c r="D1160" s="30" t="s">
        <v>436</v>
      </c>
      <c r="E1160" s="30" t="s">
        <v>349</v>
      </c>
      <c r="F1160" s="35" t="s">
        <v>441</v>
      </c>
      <c r="I1160" s="30" t="s">
        <v>351</v>
      </c>
      <c r="J1160" s="30" t="s">
        <v>352</v>
      </c>
      <c r="K1160" s="30" t="s">
        <v>35</v>
      </c>
      <c r="L1160" s="30" t="s">
        <v>324</v>
      </c>
      <c r="M1160" s="30" t="s">
        <v>325</v>
      </c>
      <c r="P1160" s="130"/>
      <c r="Q1160" s="130"/>
      <c r="R1160" s="130"/>
      <c r="S1160" s="130"/>
      <c r="T1160"/>
    </row>
    <row r="1161" spans="4:20">
      <c r="D1161" s="30" t="s">
        <v>443</v>
      </c>
      <c r="E1161" s="30" t="s">
        <v>46</v>
      </c>
      <c r="F1161" s="35" t="s">
        <v>444</v>
      </c>
      <c r="I1161" s="30" t="s">
        <v>333</v>
      </c>
      <c r="J1161" s="30">
        <v>1</v>
      </c>
      <c r="K1161" s="30" t="s">
        <v>35</v>
      </c>
      <c r="L1161" s="30" t="s">
        <v>336</v>
      </c>
      <c r="M1161" s="30" t="s">
        <v>325</v>
      </c>
      <c r="P1161" s="130"/>
      <c r="Q1161" s="130"/>
      <c r="R1161" s="130"/>
      <c r="S1161" s="130"/>
      <c r="T1161"/>
    </row>
    <row r="1162" spans="4:20">
      <c r="D1162" s="30" t="s">
        <v>443</v>
      </c>
      <c r="E1162" s="30" t="s">
        <v>337</v>
      </c>
      <c r="F1162" s="35" t="s">
        <v>335</v>
      </c>
      <c r="I1162" s="30" t="s">
        <v>333</v>
      </c>
      <c r="J1162" s="30">
        <v>1</v>
      </c>
      <c r="K1162" s="30" t="s">
        <v>35</v>
      </c>
      <c r="L1162" s="30" t="s">
        <v>336</v>
      </c>
      <c r="M1162" s="30" t="s">
        <v>325</v>
      </c>
      <c r="P1162" s="130"/>
      <c r="Q1162" s="130"/>
      <c r="R1162" s="130"/>
      <c r="S1162" s="130"/>
      <c r="T1162"/>
    </row>
    <row r="1163" spans="4:20" ht="15" customHeight="1">
      <c r="D1163" s="30" t="s">
        <v>443</v>
      </c>
      <c r="E1163" s="30" t="s">
        <v>334</v>
      </c>
      <c r="F1163" s="35" t="s">
        <v>335</v>
      </c>
      <c r="I1163" s="30" t="s">
        <v>333</v>
      </c>
      <c r="J1163" s="30">
        <v>1</v>
      </c>
      <c r="K1163" s="30" t="s">
        <v>35</v>
      </c>
      <c r="L1163" s="30" t="s">
        <v>336</v>
      </c>
      <c r="M1163" s="30" t="s">
        <v>325</v>
      </c>
      <c r="P1163" s="130"/>
      <c r="Q1163" s="130"/>
      <c r="R1163" s="130"/>
      <c r="S1163" s="130"/>
      <c r="T1163"/>
    </row>
    <row r="1164" spans="4:20" ht="15" customHeight="1">
      <c r="D1164" s="30" t="s">
        <v>443</v>
      </c>
      <c r="E1164" s="30" t="s">
        <v>338</v>
      </c>
      <c r="F1164" s="35" t="s">
        <v>339</v>
      </c>
      <c r="I1164" s="30" t="s">
        <v>333</v>
      </c>
      <c r="J1164" s="30">
        <v>1</v>
      </c>
      <c r="K1164" s="30" t="s">
        <v>35</v>
      </c>
      <c r="L1164" s="30" t="s">
        <v>107</v>
      </c>
      <c r="M1164" s="30" t="s">
        <v>325</v>
      </c>
      <c r="P1164" s="130"/>
      <c r="Q1164" s="130"/>
      <c r="R1164" s="130"/>
      <c r="S1164" s="130"/>
      <c r="T1164"/>
    </row>
    <row r="1165" spans="4:20" ht="15" customHeight="1">
      <c r="D1165" s="30" t="s">
        <v>443</v>
      </c>
      <c r="E1165" s="30" t="s">
        <v>322</v>
      </c>
      <c r="G1165" s="35" t="s">
        <v>390</v>
      </c>
      <c r="H1165" s="35" t="s">
        <v>377</v>
      </c>
      <c r="I1165" s="30" t="s">
        <v>48</v>
      </c>
      <c r="J1165" s="30">
        <v>2</v>
      </c>
      <c r="K1165" s="30" t="s">
        <v>35</v>
      </c>
      <c r="L1165" s="30" t="s">
        <v>324</v>
      </c>
      <c r="M1165" s="30" t="s">
        <v>325</v>
      </c>
      <c r="P1165" s="130"/>
      <c r="Q1165" s="130"/>
      <c r="R1165" s="130"/>
      <c r="S1165" s="130"/>
      <c r="T1165"/>
    </row>
    <row r="1166" spans="4:20" ht="15" customHeight="1">
      <c r="D1166" s="30" t="s">
        <v>443</v>
      </c>
      <c r="E1166" s="30" t="s">
        <v>45</v>
      </c>
      <c r="F1166" s="30"/>
      <c r="G1166" s="35" t="s">
        <v>403</v>
      </c>
      <c r="H1166" s="35" t="s">
        <v>398</v>
      </c>
      <c r="I1166" s="30" t="s">
        <v>48</v>
      </c>
      <c r="J1166" s="30">
        <v>2</v>
      </c>
      <c r="K1166" s="30" t="s">
        <v>35</v>
      </c>
      <c r="L1166" s="30" t="s">
        <v>358</v>
      </c>
      <c r="M1166" s="30" t="s">
        <v>325</v>
      </c>
      <c r="P1166" s="130"/>
      <c r="Q1166" s="130"/>
      <c r="R1166" s="130"/>
      <c r="S1166" s="130"/>
      <c r="T1166"/>
    </row>
    <row r="1167" spans="4:20" ht="15" customHeight="1">
      <c r="D1167" s="30" t="s">
        <v>443</v>
      </c>
      <c r="E1167" s="30" t="s">
        <v>331</v>
      </c>
      <c r="F1167" s="35" t="s">
        <v>345</v>
      </c>
      <c r="I1167" s="30" t="s">
        <v>333</v>
      </c>
      <c r="J1167" s="30">
        <v>1</v>
      </c>
      <c r="K1167" s="30" t="s">
        <v>35</v>
      </c>
      <c r="L1167" s="30" t="s">
        <v>107</v>
      </c>
      <c r="M1167" s="30" t="s">
        <v>325</v>
      </c>
      <c r="P1167" s="130"/>
      <c r="Q1167" s="130"/>
      <c r="R1167" s="130"/>
      <c r="S1167" s="130"/>
      <c r="T1167"/>
    </row>
    <row r="1168" spans="4:20" ht="15" customHeight="1">
      <c r="D1168" s="30" t="s">
        <v>443</v>
      </c>
      <c r="E1168" s="30" t="s">
        <v>353</v>
      </c>
      <c r="F1168" s="35" t="s">
        <v>354</v>
      </c>
      <c r="I1168" s="30" t="s">
        <v>355</v>
      </c>
      <c r="J1168" s="30" t="s">
        <v>352</v>
      </c>
      <c r="K1168" s="30" t="s">
        <v>35</v>
      </c>
      <c r="L1168" s="30" t="s">
        <v>107</v>
      </c>
      <c r="M1168" s="30" t="s">
        <v>325</v>
      </c>
      <c r="P1168" s="130"/>
      <c r="Q1168" s="130"/>
      <c r="R1168" s="130"/>
      <c r="S1168" s="130"/>
      <c r="T1168"/>
    </row>
    <row r="1169" spans="4:20" ht="15" customHeight="1">
      <c r="D1169" s="30" t="s">
        <v>443</v>
      </c>
      <c r="E1169" s="30" t="s">
        <v>326</v>
      </c>
      <c r="G1169" s="35" t="s">
        <v>374</v>
      </c>
      <c r="H1169" s="35" t="s">
        <v>380</v>
      </c>
      <c r="I1169" s="30" t="s">
        <v>329</v>
      </c>
      <c r="J1169" s="30">
        <v>2</v>
      </c>
      <c r="K1169" s="30" t="s">
        <v>35</v>
      </c>
      <c r="L1169" s="30" t="s">
        <v>330</v>
      </c>
      <c r="M1169" s="30" t="s">
        <v>325</v>
      </c>
      <c r="T1169"/>
    </row>
    <row r="1170" spans="4:20" ht="15" customHeight="1">
      <c r="D1170" s="30" t="s">
        <v>443</v>
      </c>
      <c r="E1170" s="30" t="s">
        <v>349</v>
      </c>
      <c r="F1170" s="35" t="s">
        <v>392</v>
      </c>
      <c r="I1170" s="30" t="s">
        <v>351</v>
      </c>
      <c r="J1170" s="30" t="s">
        <v>352</v>
      </c>
      <c r="K1170" s="30" t="s">
        <v>35</v>
      </c>
      <c r="L1170" s="30" t="s">
        <v>324</v>
      </c>
      <c r="M1170" s="30" t="s">
        <v>325</v>
      </c>
      <c r="T1170"/>
    </row>
    <row r="1171" spans="4:20" ht="15" customHeight="1">
      <c r="D1171" s="30" t="s">
        <v>445</v>
      </c>
      <c r="E1171" s="30" t="s">
        <v>46</v>
      </c>
      <c r="F1171" s="35" t="s">
        <v>335</v>
      </c>
      <c r="I1171" s="30" t="s">
        <v>333</v>
      </c>
      <c r="J1171" s="30">
        <v>1</v>
      </c>
      <c r="K1171" s="30" t="s">
        <v>35</v>
      </c>
      <c r="L1171" s="30" t="s">
        <v>336</v>
      </c>
      <c r="M1171" s="30" t="s">
        <v>325</v>
      </c>
      <c r="T1171"/>
    </row>
    <row r="1172" spans="4:20" ht="15" customHeight="1">
      <c r="D1172" s="30" t="s">
        <v>445</v>
      </c>
      <c r="E1172" s="30" t="s">
        <v>337</v>
      </c>
      <c r="F1172" s="35" t="s">
        <v>381</v>
      </c>
      <c r="I1172" s="30" t="s">
        <v>333</v>
      </c>
      <c r="J1172" s="30">
        <v>1</v>
      </c>
      <c r="K1172" s="30" t="s">
        <v>35</v>
      </c>
      <c r="L1172" s="30" t="s">
        <v>336</v>
      </c>
      <c r="M1172" s="30" t="s">
        <v>325</v>
      </c>
      <c r="T1172"/>
    </row>
    <row r="1173" spans="4:20" ht="15" customHeight="1">
      <c r="D1173" s="30" t="s">
        <v>445</v>
      </c>
      <c r="E1173" s="30" t="s">
        <v>334</v>
      </c>
      <c r="F1173" s="35" t="s">
        <v>335</v>
      </c>
      <c r="I1173" s="30" t="s">
        <v>333</v>
      </c>
      <c r="J1173" s="30">
        <v>1</v>
      </c>
      <c r="K1173" s="30" t="s">
        <v>35</v>
      </c>
      <c r="L1173" s="30" t="s">
        <v>336</v>
      </c>
      <c r="M1173" s="30" t="s">
        <v>325</v>
      </c>
      <c r="T1173"/>
    </row>
    <row r="1174" spans="4:20" ht="15" customHeight="1">
      <c r="D1174" s="30" t="s">
        <v>445</v>
      </c>
      <c r="E1174" s="30" t="s">
        <v>338</v>
      </c>
      <c r="F1174" s="35" t="s">
        <v>339</v>
      </c>
      <c r="I1174" s="30" t="s">
        <v>333</v>
      </c>
      <c r="J1174" s="30">
        <v>1</v>
      </c>
      <c r="K1174" s="30" t="s">
        <v>35</v>
      </c>
      <c r="L1174" s="30" t="s">
        <v>107</v>
      </c>
      <c r="M1174" s="30" t="s">
        <v>325</v>
      </c>
      <c r="T1174"/>
    </row>
    <row r="1175" spans="4:20" ht="15" customHeight="1">
      <c r="D1175" s="30" t="s">
        <v>445</v>
      </c>
      <c r="E1175" s="30" t="s">
        <v>322</v>
      </c>
      <c r="G1175" s="35" t="s">
        <v>437</v>
      </c>
      <c r="H1175" s="35" t="s">
        <v>446</v>
      </c>
      <c r="I1175" s="30" t="s">
        <v>48</v>
      </c>
      <c r="J1175" s="30">
        <v>2</v>
      </c>
      <c r="K1175" s="30" t="s">
        <v>35</v>
      </c>
      <c r="L1175" s="30" t="s">
        <v>324</v>
      </c>
      <c r="M1175" s="30" t="s">
        <v>325</v>
      </c>
      <c r="T1175"/>
    </row>
    <row r="1176" spans="4:20" ht="15" customHeight="1">
      <c r="D1176" s="30" t="s">
        <v>445</v>
      </c>
      <c r="E1176" s="30" t="s">
        <v>45</v>
      </c>
      <c r="G1176" s="35" t="s">
        <v>357</v>
      </c>
      <c r="H1176" s="35" t="s">
        <v>442</v>
      </c>
      <c r="I1176" s="30" t="s">
        <v>48</v>
      </c>
      <c r="J1176" s="30">
        <v>2</v>
      </c>
      <c r="K1176" s="30" t="s">
        <v>35</v>
      </c>
      <c r="L1176" s="30" t="s">
        <v>358</v>
      </c>
      <c r="M1176" s="30" t="s">
        <v>325</v>
      </c>
      <c r="T1176"/>
    </row>
    <row r="1177" spans="4:20" ht="15" customHeight="1">
      <c r="D1177" s="30" t="s">
        <v>445</v>
      </c>
      <c r="E1177" s="30" t="s">
        <v>331</v>
      </c>
      <c r="F1177" s="35" t="s">
        <v>345</v>
      </c>
      <c r="I1177" s="30" t="s">
        <v>333</v>
      </c>
      <c r="J1177" s="30">
        <v>1</v>
      </c>
      <c r="K1177" s="30" t="s">
        <v>35</v>
      </c>
      <c r="L1177" s="30" t="s">
        <v>107</v>
      </c>
      <c r="M1177" s="30" t="s">
        <v>325</v>
      </c>
      <c r="T1177"/>
    </row>
    <row r="1178" spans="4:20" ht="15" customHeight="1">
      <c r="D1178" s="30" t="s">
        <v>445</v>
      </c>
      <c r="E1178" s="30" t="s">
        <v>353</v>
      </c>
      <c r="F1178" s="35" t="s">
        <v>354</v>
      </c>
      <c r="I1178" s="30" t="s">
        <v>355</v>
      </c>
      <c r="J1178" s="30" t="s">
        <v>352</v>
      </c>
      <c r="K1178" s="30" t="s">
        <v>35</v>
      </c>
      <c r="L1178" s="30" t="s">
        <v>107</v>
      </c>
      <c r="M1178" s="30" t="s">
        <v>325</v>
      </c>
      <c r="T1178"/>
    </row>
    <row r="1179" spans="4:20" ht="15" customHeight="1">
      <c r="D1179" s="30" t="s">
        <v>445</v>
      </c>
      <c r="E1179" s="30" t="s">
        <v>349</v>
      </c>
      <c r="F1179" s="35" t="s">
        <v>447</v>
      </c>
      <c r="I1179" s="30" t="s">
        <v>351</v>
      </c>
      <c r="J1179" s="30" t="s">
        <v>352</v>
      </c>
      <c r="K1179" s="30" t="s">
        <v>35</v>
      </c>
      <c r="L1179" s="30" t="s">
        <v>324</v>
      </c>
      <c r="M1179" s="30" t="s">
        <v>325</v>
      </c>
      <c r="T1179"/>
    </row>
    <row r="1180" spans="4:20" ht="15" customHeight="1">
      <c r="D1180" s="30" t="s">
        <v>540</v>
      </c>
      <c r="E1180" s="30" t="s">
        <v>46</v>
      </c>
      <c r="F1180" s="35" t="s">
        <v>335</v>
      </c>
      <c r="I1180" s="30" t="s">
        <v>333</v>
      </c>
      <c r="J1180" s="30">
        <v>1</v>
      </c>
      <c r="K1180" s="30" t="s">
        <v>35</v>
      </c>
      <c r="L1180" s="30" t="s">
        <v>336</v>
      </c>
      <c r="M1180" s="30" t="s">
        <v>325</v>
      </c>
      <c r="T1180"/>
    </row>
    <row r="1181" spans="4:20" ht="15" customHeight="1">
      <c r="D1181" s="30" t="s">
        <v>540</v>
      </c>
      <c r="E1181" s="30" t="s">
        <v>338</v>
      </c>
      <c r="F1181" s="35" t="s">
        <v>339</v>
      </c>
      <c r="I1181" s="30" t="s">
        <v>333</v>
      </c>
      <c r="J1181" s="30">
        <v>1</v>
      </c>
      <c r="K1181" s="30" t="s">
        <v>35</v>
      </c>
      <c r="L1181" s="30" t="s">
        <v>107</v>
      </c>
      <c r="M1181" s="30" t="s">
        <v>325</v>
      </c>
      <c r="T1181"/>
    </row>
    <row r="1182" spans="4:20" ht="15" customHeight="1">
      <c r="D1182" s="30" t="s">
        <v>540</v>
      </c>
      <c r="E1182" s="30" t="s">
        <v>322</v>
      </c>
      <c r="G1182" s="35" t="s">
        <v>437</v>
      </c>
      <c r="H1182" s="35" t="s">
        <v>541</v>
      </c>
      <c r="I1182" s="30" t="s">
        <v>48</v>
      </c>
      <c r="J1182" s="30">
        <v>2</v>
      </c>
      <c r="K1182" s="30" t="s">
        <v>35</v>
      </c>
      <c r="L1182" s="30" t="s">
        <v>324</v>
      </c>
      <c r="M1182" s="30" t="s">
        <v>325</v>
      </c>
      <c r="T1182"/>
    </row>
    <row r="1183" spans="4:20" ht="15" customHeight="1">
      <c r="D1183" s="30" t="s">
        <v>540</v>
      </c>
      <c r="E1183" s="30" t="s">
        <v>45</v>
      </c>
      <c r="G1183" s="35" t="s">
        <v>357</v>
      </c>
      <c r="H1183" s="35" t="s">
        <v>442</v>
      </c>
      <c r="I1183" s="30" t="s">
        <v>48</v>
      </c>
      <c r="J1183" s="30">
        <v>2</v>
      </c>
      <c r="K1183" s="30" t="s">
        <v>35</v>
      </c>
      <c r="L1183" s="30" t="s">
        <v>358</v>
      </c>
      <c r="M1183" s="30" t="s">
        <v>325</v>
      </c>
      <c r="T1183"/>
    </row>
    <row r="1184" spans="4:20">
      <c r="D1184" s="30" t="s">
        <v>540</v>
      </c>
      <c r="E1184" s="30" t="s">
        <v>331</v>
      </c>
      <c r="F1184" s="35" t="s">
        <v>345</v>
      </c>
      <c r="I1184" s="30" t="s">
        <v>333</v>
      </c>
      <c r="J1184" s="30">
        <v>1</v>
      </c>
      <c r="K1184" s="30" t="s">
        <v>35</v>
      </c>
      <c r="L1184" s="30" t="s">
        <v>107</v>
      </c>
      <c r="M1184" s="30" t="s">
        <v>325</v>
      </c>
      <c r="T1184"/>
    </row>
    <row r="1185" spans="4:20">
      <c r="D1185" s="30" t="s">
        <v>540</v>
      </c>
      <c r="E1185" s="30" t="s">
        <v>353</v>
      </c>
      <c r="F1185" s="35" t="s">
        <v>354</v>
      </c>
      <c r="I1185" s="30" t="s">
        <v>355</v>
      </c>
      <c r="J1185" s="30" t="s">
        <v>352</v>
      </c>
      <c r="K1185" s="30" t="s">
        <v>35</v>
      </c>
      <c r="L1185" s="30" t="s">
        <v>107</v>
      </c>
      <c r="M1185" s="30" t="s">
        <v>325</v>
      </c>
      <c r="T1185"/>
    </row>
    <row r="1186" spans="4:20">
      <c r="D1186" s="30" t="s">
        <v>540</v>
      </c>
      <c r="E1186" s="30" t="s">
        <v>349</v>
      </c>
      <c r="F1186" s="35" t="s">
        <v>542</v>
      </c>
      <c r="I1186" s="30" t="s">
        <v>351</v>
      </c>
      <c r="J1186" s="30" t="s">
        <v>352</v>
      </c>
      <c r="K1186" s="30" t="s">
        <v>35</v>
      </c>
      <c r="L1186" s="30" t="s">
        <v>324</v>
      </c>
      <c r="M1186" s="30" t="s">
        <v>325</v>
      </c>
      <c r="T1186"/>
    </row>
    <row r="1187" spans="4:20">
      <c r="D1187" s="30" t="s">
        <v>448</v>
      </c>
      <c r="E1187" s="30" t="s">
        <v>46</v>
      </c>
      <c r="F1187" s="35" t="s">
        <v>335</v>
      </c>
      <c r="I1187" s="30" t="s">
        <v>333</v>
      </c>
      <c r="J1187" s="30">
        <v>1</v>
      </c>
      <c r="K1187" s="30" t="s">
        <v>35</v>
      </c>
      <c r="L1187" s="30" t="s">
        <v>336</v>
      </c>
      <c r="M1187" s="30" t="s">
        <v>325</v>
      </c>
      <c r="T1187"/>
    </row>
    <row r="1188" spans="4:20">
      <c r="D1188" s="30" t="s">
        <v>448</v>
      </c>
      <c r="E1188" s="30" t="s">
        <v>337</v>
      </c>
      <c r="F1188" s="35" t="s">
        <v>381</v>
      </c>
      <c r="I1188" s="30" t="s">
        <v>333</v>
      </c>
      <c r="J1188" s="30">
        <v>1</v>
      </c>
      <c r="K1188" s="30" t="s">
        <v>35</v>
      </c>
      <c r="L1188" s="30" t="s">
        <v>336</v>
      </c>
      <c r="M1188" s="30" t="s">
        <v>325</v>
      </c>
      <c r="T1188"/>
    </row>
    <row r="1189" spans="4:20">
      <c r="D1189" s="30" t="s">
        <v>448</v>
      </c>
      <c r="E1189" s="30" t="s">
        <v>334</v>
      </c>
      <c r="F1189" s="35" t="s">
        <v>335</v>
      </c>
      <c r="I1189" s="30" t="s">
        <v>333</v>
      </c>
      <c r="J1189" s="30">
        <v>1</v>
      </c>
      <c r="K1189" s="30" t="s">
        <v>35</v>
      </c>
      <c r="L1189" s="30" t="s">
        <v>336</v>
      </c>
      <c r="M1189" s="30" t="s">
        <v>325</v>
      </c>
      <c r="T1189"/>
    </row>
    <row r="1190" spans="4:20">
      <c r="D1190" s="30" t="s">
        <v>448</v>
      </c>
      <c r="E1190" s="30" t="s">
        <v>338</v>
      </c>
      <c r="F1190" s="35" t="s">
        <v>339</v>
      </c>
      <c r="I1190" s="30" t="s">
        <v>333</v>
      </c>
      <c r="J1190" s="30">
        <v>1</v>
      </c>
      <c r="K1190" s="30" t="s">
        <v>35</v>
      </c>
      <c r="L1190" s="30" t="s">
        <v>107</v>
      </c>
      <c r="M1190" s="30" t="s">
        <v>325</v>
      </c>
      <c r="T1190"/>
    </row>
    <row r="1191" spans="4:20">
      <c r="D1191" s="30" t="s">
        <v>448</v>
      </c>
      <c r="E1191" s="30" t="s">
        <v>322</v>
      </c>
      <c r="G1191" s="35" t="s">
        <v>449</v>
      </c>
      <c r="H1191" s="35" t="s">
        <v>377</v>
      </c>
      <c r="I1191" s="30" t="s">
        <v>48</v>
      </c>
      <c r="J1191" s="30">
        <v>2</v>
      </c>
      <c r="K1191" s="30" t="s">
        <v>35</v>
      </c>
      <c r="L1191" s="30" t="s">
        <v>324</v>
      </c>
      <c r="M1191" s="30" t="s">
        <v>325</v>
      </c>
      <c r="T1191"/>
    </row>
    <row r="1192" spans="4:20">
      <c r="D1192" s="30" t="s">
        <v>448</v>
      </c>
      <c r="E1192" s="30" t="s">
        <v>45</v>
      </c>
      <c r="G1192" s="35" t="s">
        <v>403</v>
      </c>
      <c r="H1192" s="35" t="s">
        <v>357</v>
      </c>
      <c r="I1192" s="30" t="s">
        <v>48</v>
      </c>
      <c r="J1192" s="30">
        <v>2</v>
      </c>
      <c r="K1192" s="30" t="s">
        <v>35</v>
      </c>
      <c r="L1192" s="30" t="s">
        <v>358</v>
      </c>
      <c r="M1192" s="30" t="s">
        <v>325</v>
      </c>
      <c r="T1192"/>
    </row>
    <row r="1193" spans="4:20">
      <c r="D1193" s="30" t="s">
        <v>448</v>
      </c>
      <c r="E1193" s="30" t="s">
        <v>331</v>
      </c>
      <c r="F1193" s="35" t="s">
        <v>345</v>
      </c>
      <c r="I1193" s="30" t="s">
        <v>333</v>
      </c>
      <c r="J1193" s="30">
        <v>1</v>
      </c>
      <c r="K1193" s="30" t="s">
        <v>35</v>
      </c>
      <c r="L1193" s="30" t="s">
        <v>107</v>
      </c>
      <c r="M1193" s="30" t="s">
        <v>325</v>
      </c>
      <c r="T1193"/>
    </row>
    <row r="1194" spans="4:20">
      <c r="D1194" s="30" t="s">
        <v>448</v>
      </c>
      <c r="E1194" s="30" t="s">
        <v>353</v>
      </c>
      <c r="F1194" s="35" t="s">
        <v>354</v>
      </c>
      <c r="I1194" s="30" t="s">
        <v>355</v>
      </c>
      <c r="J1194" s="30" t="s">
        <v>352</v>
      </c>
      <c r="K1194" s="30" t="s">
        <v>35</v>
      </c>
      <c r="L1194" s="30" t="s">
        <v>107</v>
      </c>
      <c r="M1194" s="30" t="s">
        <v>325</v>
      </c>
      <c r="T1194"/>
    </row>
    <row r="1195" spans="4:20">
      <c r="D1195" s="30" t="s">
        <v>448</v>
      </c>
      <c r="E1195" s="30" t="s">
        <v>349</v>
      </c>
      <c r="F1195" s="35" t="s">
        <v>450</v>
      </c>
      <c r="I1195" s="30" t="s">
        <v>351</v>
      </c>
      <c r="J1195" s="30" t="s">
        <v>352</v>
      </c>
      <c r="K1195" s="30" t="s">
        <v>35</v>
      </c>
      <c r="L1195" s="30" t="s">
        <v>324</v>
      </c>
      <c r="M1195" s="30" t="s">
        <v>325</v>
      </c>
      <c r="T1195"/>
    </row>
    <row r="1196" spans="4:20">
      <c r="D1196" s="30" t="s">
        <v>451</v>
      </c>
      <c r="E1196" s="30" t="s">
        <v>46</v>
      </c>
      <c r="F1196" s="35" t="s">
        <v>335</v>
      </c>
      <c r="I1196" s="30" t="s">
        <v>333</v>
      </c>
      <c r="J1196" s="30">
        <v>1</v>
      </c>
      <c r="K1196" s="30" t="s">
        <v>35</v>
      </c>
      <c r="L1196" s="30" t="s">
        <v>336</v>
      </c>
      <c r="M1196" s="30" t="s">
        <v>325</v>
      </c>
      <c r="T1196"/>
    </row>
    <row r="1197" spans="4:20">
      <c r="D1197" s="30" t="s">
        <v>451</v>
      </c>
      <c r="E1197" s="30" t="s">
        <v>337</v>
      </c>
      <c r="F1197" s="35" t="s">
        <v>381</v>
      </c>
      <c r="I1197" s="30" t="s">
        <v>333</v>
      </c>
      <c r="J1197" s="30">
        <v>1</v>
      </c>
      <c r="K1197" s="30" t="s">
        <v>35</v>
      </c>
      <c r="L1197" s="30" t="s">
        <v>336</v>
      </c>
      <c r="M1197" s="30" t="s">
        <v>325</v>
      </c>
      <c r="T1197"/>
    </row>
    <row r="1198" spans="4:20" ht="15" customHeight="1">
      <c r="D1198" s="30" t="s">
        <v>451</v>
      </c>
      <c r="E1198" s="30" t="s">
        <v>334</v>
      </c>
      <c r="F1198" s="35" t="s">
        <v>335</v>
      </c>
      <c r="I1198" s="30" t="s">
        <v>333</v>
      </c>
      <c r="J1198" s="30">
        <v>1</v>
      </c>
      <c r="K1198" s="30" t="s">
        <v>35</v>
      </c>
      <c r="L1198" s="30" t="s">
        <v>336</v>
      </c>
      <c r="M1198" s="30" t="s">
        <v>325</v>
      </c>
      <c r="T1198"/>
    </row>
    <row r="1199" spans="4:20" ht="15" customHeight="1">
      <c r="D1199" s="30" t="s">
        <v>451</v>
      </c>
      <c r="E1199" s="30" t="s">
        <v>338</v>
      </c>
      <c r="F1199" s="35" t="s">
        <v>339</v>
      </c>
      <c r="I1199" s="30" t="s">
        <v>333</v>
      </c>
      <c r="J1199" s="30">
        <v>1</v>
      </c>
      <c r="K1199" s="30" t="s">
        <v>35</v>
      </c>
      <c r="L1199" s="30" t="s">
        <v>107</v>
      </c>
      <c r="M1199" s="30" t="s">
        <v>325</v>
      </c>
      <c r="T1199"/>
    </row>
    <row r="1200" spans="4:20" ht="15" customHeight="1">
      <c r="D1200" s="30" t="s">
        <v>451</v>
      </c>
      <c r="E1200" s="30" t="s">
        <v>322</v>
      </c>
      <c r="G1200" s="35" t="s">
        <v>452</v>
      </c>
      <c r="H1200" s="35" t="s">
        <v>390</v>
      </c>
      <c r="I1200" s="30" t="s">
        <v>48</v>
      </c>
      <c r="J1200" s="30">
        <v>2</v>
      </c>
      <c r="K1200" s="30" t="s">
        <v>35</v>
      </c>
      <c r="L1200" s="30" t="s">
        <v>324</v>
      </c>
      <c r="M1200" s="30" t="s">
        <v>325</v>
      </c>
      <c r="T1200"/>
    </row>
    <row r="1201" spans="4:20" ht="15" customHeight="1">
      <c r="D1201" s="30" t="s">
        <v>451</v>
      </c>
      <c r="E1201" s="30" t="s">
        <v>45</v>
      </c>
      <c r="G1201" s="35" t="s">
        <v>430</v>
      </c>
      <c r="H1201" s="35" t="s">
        <v>378</v>
      </c>
      <c r="I1201" s="30" t="s">
        <v>48</v>
      </c>
      <c r="J1201" s="30">
        <v>2</v>
      </c>
      <c r="K1201" s="30" t="s">
        <v>35</v>
      </c>
      <c r="L1201" s="30" t="s">
        <v>358</v>
      </c>
      <c r="M1201" s="30" t="s">
        <v>325</v>
      </c>
      <c r="T1201"/>
    </row>
    <row r="1202" spans="4:20" ht="15" customHeight="1">
      <c r="D1202" s="30" t="s">
        <v>451</v>
      </c>
      <c r="E1202" s="30" t="s">
        <v>331</v>
      </c>
      <c r="F1202" s="35" t="s">
        <v>345</v>
      </c>
      <c r="I1202" s="30" t="s">
        <v>333</v>
      </c>
      <c r="J1202" s="30">
        <v>1</v>
      </c>
      <c r="K1202" s="30" t="s">
        <v>35</v>
      </c>
      <c r="L1202" s="30" t="s">
        <v>107</v>
      </c>
      <c r="M1202" s="30" t="s">
        <v>325</v>
      </c>
      <c r="T1202"/>
    </row>
    <row r="1203" spans="4:20" ht="15" customHeight="1">
      <c r="D1203" s="30" t="s">
        <v>451</v>
      </c>
      <c r="E1203" s="30" t="s">
        <v>353</v>
      </c>
      <c r="F1203" s="35" t="s">
        <v>354</v>
      </c>
      <c r="I1203" s="30" t="s">
        <v>355</v>
      </c>
      <c r="J1203" s="30" t="s">
        <v>352</v>
      </c>
      <c r="K1203" s="30" t="s">
        <v>35</v>
      </c>
      <c r="L1203" s="30" t="s">
        <v>107</v>
      </c>
      <c r="M1203" s="30" t="s">
        <v>325</v>
      </c>
      <c r="T1203"/>
    </row>
    <row r="1204" spans="4:20" ht="15" customHeight="1">
      <c r="D1204" s="30" t="s">
        <v>451</v>
      </c>
      <c r="E1204" s="30" t="s">
        <v>349</v>
      </c>
      <c r="F1204" s="35" t="s">
        <v>453</v>
      </c>
      <c r="I1204" s="30" t="s">
        <v>351</v>
      </c>
      <c r="J1204" s="30" t="s">
        <v>352</v>
      </c>
      <c r="K1204" s="30" t="s">
        <v>35</v>
      </c>
      <c r="L1204" s="30" t="s">
        <v>324</v>
      </c>
      <c r="M1204" s="30" t="s">
        <v>325</v>
      </c>
      <c r="T1204"/>
    </row>
    <row r="1205" spans="4:20" ht="15" customHeight="1">
      <c r="D1205" s="30" t="s">
        <v>650</v>
      </c>
      <c r="E1205" s="30" t="s">
        <v>46</v>
      </c>
      <c r="F1205" s="35" t="s">
        <v>335</v>
      </c>
      <c r="I1205" s="30" t="s">
        <v>333</v>
      </c>
      <c r="J1205" s="30">
        <v>1</v>
      </c>
      <c r="K1205" s="30" t="s">
        <v>35</v>
      </c>
      <c r="L1205" s="30" t="s">
        <v>336</v>
      </c>
      <c r="M1205" s="30" t="s">
        <v>325</v>
      </c>
      <c r="T1205"/>
    </row>
    <row r="1206" spans="4:20" ht="15" customHeight="1">
      <c r="D1206" s="30" t="s">
        <v>650</v>
      </c>
      <c r="E1206" s="30" t="s">
        <v>337</v>
      </c>
      <c r="F1206" s="35" t="s">
        <v>368</v>
      </c>
      <c r="I1206" s="30" t="s">
        <v>333</v>
      </c>
      <c r="J1206" s="30">
        <v>1</v>
      </c>
      <c r="K1206" s="30" t="s">
        <v>35</v>
      </c>
      <c r="L1206" s="30" t="s">
        <v>336</v>
      </c>
      <c r="M1206" s="30" t="s">
        <v>325</v>
      </c>
      <c r="T1206"/>
    </row>
    <row r="1207" spans="4:20" ht="15" customHeight="1">
      <c r="D1207" s="30" t="s">
        <v>650</v>
      </c>
      <c r="E1207" s="30" t="s">
        <v>334</v>
      </c>
      <c r="F1207" s="35" t="s">
        <v>335</v>
      </c>
      <c r="I1207" s="30" t="s">
        <v>333</v>
      </c>
      <c r="J1207" s="30">
        <v>1</v>
      </c>
      <c r="K1207" s="30" t="s">
        <v>35</v>
      </c>
      <c r="L1207" s="30" t="s">
        <v>336</v>
      </c>
      <c r="M1207" s="30" t="s">
        <v>325</v>
      </c>
      <c r="T1207"/>
    </row>
    <row r="1208" spans="4:20" ht="15" customHeight="1">
      <c r="D1208" s="30" t="s">
        <v>650</v>
      </c>
      <c r="E1208" s="30" t="s">
        <v>338</v>
      </c>
      <c r="F1208" s="35" t="s">
        <v>339</v>
      </c>
      <c r="I1208" s="30" t="s">
        <v>333</v>
      </c>
      <c r="J1208" s="30">
        <v>1</v>
      </c>
      <c r="K1208" s="30" t="s">
        <v>35</v>
      </c>
      <c r="L1208" s="30" t="s">
        <v>107</v>
      </c>
      <c r="M1208" s="30" t="s">
        <v>325</v>
      </c>
      <c r="T1208"/>
    </row>
    <row r="1209" spans="4:20" ht="15" customHeight="1">
      <c r="D1209" s="30" t="s">
        <v>650</v>
      </c>
      <c r="E1209" s="30" t="s">
        <v>322</v>
      </c>
      <c r="G1209" s="35" t="s">
        <v>390</v>
      </c>
      <c r="H1209" s="35" t="s">
        <v>377</v>
      </c>
      <c r="I1209" s="30" t="s">
        <v>48</v>
      </c>
      <c r="J1209" s="30">
        <v>2</v>
      </c>
      <c r="K1209" s="30" t="s">
        <v>35</v>
      </c>
      <c r="L1209" s="30" t="s">
        <v>324</v>
      </c>
      <c r="M1209" s="30" t="s">
        <v>325</v>
      </c>
      <c r="T1209"/>
    </row>
    <row r="1210" spans="4:20" ht="15" customHeight="1">
      <c r="D1210" s="30" t="s">
        <v>650</v>
      </c>
      <c r="E1210" s="30" t="s">
        <v>45</v>
      </c>
      <c r="G1210" s="35" t="s">
        <v>378</v>
      </c>
      <c r="H1210" s="35" t="s">
        <v>379</v>
      </c>
      <c r="I1210" s="30" t="s">
        <v>48</v>
      </c>
      <c r="J1210" s="30">
        <v>2</v>
      </c>
      <c r="K1210" s="30" t="s">
        <v>35</v>
      </c>
      <c r="L1210" s="30" t="s">
        <v>358</v>
      </c>
      <c r="M1210" s="30" t="s">
        <v>325</v>
      </c>
      <c r="P1210" s="129"/>
      <c r="Q1210" s="129"/>
      <c r="R1210" s="129"/>
      <c r="S1210" s="129"/>
      <c r="T1210"/>
    </row>
    <row r="1211" spans="4:20" ht="15" customHeight="1">
      <c r="D1211" s="30" t="s">
        <v>650</v>
      </c>
      <c r="E1211" s="30" t="s">
        <v>347</v>
      </c>
      <c r="G1211" s="35" t="s">
        <v>385</v>
      </c>
      <c r="H1211" s="35" t="s">
        <v>391</v>
      </c>
      <c r="I1211" s="30" t="s">
        <v>329</v>
      </c>
      <c r="J1211" s="30">
        <v>2</v>
      </c>
      <c r="K1211" s="30" t="s">
        <v>35</v>
      </c>
      <c r="L1211" s="30" t="s">
        <v>330</v>
      </c>
      <c r="M1211" s="30" t="s">
        <v>325</v>
      </c>
      <c r="P1211" s="129"/>
      <c r="Q1211" s="129"/>
      <c r="R1211" s="129"/>
      <c r="S1211" s="129"/>
      <c r="T1211"/>
    </row>
    <row r="1212" spans="4:20" ht="15" customHeight="1">
      <c r="D1212" s="30" t="s">
        <v>650</v>
      </c>
      <c r="E1212" s="30" t="s">
        <v>331</v>
      </c>
      <c r="F1212" s="35" t="s">
        <v>345</v>
      </c>
      <c r="I1212" s="30" t="s">
        <v>333</v>
      </c>
      <c r="J1212" s="30">
        <v>1</v>
      </c>
      <c r="K1212" s="30" t="s">
        <v>35</v>
      </c>
      <c r="L1212" s="30" t="s">
        <v>107</v>
      </c>
      <c r="M1212" s="30" t="s">
        <v>325</v>
      </c>
      <c r="P1212" s="129"/>
      <c r="Q1212" s="129"/>
      <c r="R1212" s="129"/>
      <c r="S1212" s="129"/>
      <c r="T1212"/>
    </row>
    <row r="1213" spans="4:20" ht="15" customHeight="1">
      <c r="D1213" s="30" t="s">
        <v>650</v>
      </c>
      <c r="E1213" s="30" t="s">
        <v>353</v>
      </c>
      <c r="F1213" s="35" t="s">
        <v>354</v>
      </c>
      <c r="I1213" s="30" t="s">
        <v>355</v>
      </c>
      <c r="J1213" s="30" t="s">
        <v>352</v>
      </c>
      <c r="K1213" s="30" t="s">
        <v>35</v>
      </c>
      <c r="L1213" s="30" t="s">
        <v>107</v>
      </c>
      <c r="M1213" s="30" t="s">
        <v>325</v>
      </c>
      <c r="P1213" s="129"/>
      <c r="Q1213" s="129"/>
      <c r="R1213" s="129"/>
      <c r="S1213" s="129"/>
      <c r="T1213"/>
    </row>
    <row r="1214" spans="4:20" ht="15" customHeight="1">
      <c r="D1214" s="30" t="s">
        <v>650</v>
      </c>
      <c r="E1214" s="30" t="s">
        <v>326</v>
      </c>
      <c r="G1214" s="35" t="s">
        <v>367</v>
      </c>
      <c r="H1214" s="35" t="s">
        <v>380</v>
      </c>
      <c r="I1214" s="30" t="s">
        <v>329</v>
      </c>
      <c r="J1214" s="30">
        <v>2</v>
      </c>
      <c r="K1214" s="30" t="s">
        <v>35</v>
      </c>
      <c r="L1214" s="30" t="s">
        <v>330</v>
      </c>
      <c r="M1214" s="30" t="s">
        <v>325</v>
      </c>
      <c r="P1214" s="129"/>
      <c r="Q1214" s="129"/>
      <c r="R1214" s="129"/>
      <c r="S1214" s="129"/>
      <c r="T1214"/>
    </row>
    <row r="1215" spans="4:20" ht="15" customHeight="1">
      <c r="D1215" s="30" t="s">
        <v>650</v>
      </c>
      <c r="E1215" s="30" t="s">
        <v>349</v>
      </c>
      <c r="F1215" s="35" t="s">
        <v>392</v>
      </c>
      <c r="I1215" s="30" t="s">
        <v>351</v>
      </c>
      <c r="J1215" s="30" t="s">
        <v>352</v>
      </c>
      <c r="K1215" s="30" t="s">
        <v>35</v>
      </c>
      <c r="L1215" s="30" t="s">
        <v>324</v>
      </c>
      <c r="M1215" s="30" t="s">
        <v>325</v>
      </c>
      <c r="P1215" s="129"/>
      <c r="Q1215" s="129"/>
      <c r="R1215" s="129"/>
      <c r="S1215" s="129"/>
      <c r="T1215"/>
    </row>
    <row r="1216" spans="4:20" ht="15" customHeight="1">
      <c r="D1216" s="30" t="s">
        <v>454</v>
      </c>
      <c r="E1216" s="30" t="s">
        <v>46</v>
      </c>
      <c r="F1216" s="35" t="s">
        <v>335</v>
      </c>
      <c r="I1216" s="30" t="s">
        <v>333</v>
      </c>
      <c r="J1216" s="30">
        <v>1</v>
      </c>
      <c r="K1216" s="30" t="s">
        <v>35</v>
      </c>
      <c r="L1216" s="30" t="s">
        <v>336</v>
      </c>
      <c r="M1216" s="30" t="s">
        <v>325</v>
      </c>
      <c r="P1216" s="129"/>
      <c r="Q1216" s="129"/>
      <c r="R1216" s="129"/>
      <c r="S1216" s="129"/>
      <c r="T1216"/>
    </row>
    <row r="1217" spans="4:20" ht="15" customHeight="1">
      <c r="D1217" s="30" t="s">
        <v>454</v>
      </c>
      <c r="E1217" s="30" t="s">
        <v>337</v>
      </c>
      <c r="F1217" s="35" t="s">
        <v>368</v>
      </c>
      <c r="I1217" s="30" t="s">
        <v>333</v>
      </c>
      <c r="J1217" s="30">
        <v>1</v>
      </c>
      <c r="K1217" s="30" t="s">
        <v>35</v>
      </c>
      <c r="L1217" s="30" t="s">
        <v>336</v>
      </c>
      <c r="M1217" s="30" t="s">
        <v>325</v>
      </c>
      <c r="P1217" s="129"/>
      <c r="Q1217" s="129"/>
      <c r="R1217" s="129"/>
      <c r="S1217" s="129"/>
      <c r="T1217"/>
    </row>
    <row r="1218" spans="4:20" ht="15" customHeight="1">
      <c r="D1218" s="30" t="s">
        <v>454</v>
      </c>
      <c r="E1218" s="30" t="s">
        <v>334</v>
      </c>
      <c r="H1218" s="35" t="s">
        <v>386</v>
      </c>
      <c r="I1218" s="30" t="s">
        <v>333</v>
      </c>
      <c r="J1218" s="30">
        <v>1</v>
      </c>
      <c r="K1218" s="30" t="s">
        <v>35</v>
      </c>
      <c r="L1218" s="30" t="s">
        <v>336</v>
      </c>
      <c r="M1218" s="30" t="s">
        <v>325</v>
      </c>
      <c r="P1218" s="129"/>
      <c r="Q1218" s="129"/>
      <c r="R1218" s="129"/>
      <c r="S1218" s="129"/>
      <c r="T1218"/>
    </row>
    <row r="1219" spans="4:20">
      <c r="D1219" s="30" t="s">
        <v>454</v>
      </c>
      <c r="E1219" s="30" t="s">
        <v>338</v>
      </c>
      <c r="F1219" s="35" t="s">
        <v>339</v>
      </c>
      <c r="I1219" s="30" t="s">
        <v>333</v>
      </c>
      <c r="J1219" s="30">
        <v>1</v>
      </c>
      <c r="K1219" s="30" t="s">
        <v>35</v>
      </c>
      <c r="L1219" s="30" t="s">
        <v>107</v>
      </c>
      <c r="M1219" s="30" t="s">
        <v>325</v>
      </c>
      <c r="P1219" s="129"/>
      <c r="Q1219" s="129"/>
      <c r="R1219" s="129"/>
      <c r="S1219" s="129"/>
      <c r="T1219"/>
    </row>
    <row r="1220" spans="4:20">
      <c r="D1220" s="30" t="s">
        <v>454</v>
      </c>
      <c r="E1220" s="30" t="s">
        <v>322</v>
      </c>
      <c r="G1220" s="35" t="s">
        <v>449</v>
      </c>
      <c r="H1220" s="35" t="s">
        <v>377</v>
      </c>
      <c r="I1220" s="30" t="s">
        <v>48</v>
      </c>
      <c r="J1220" s="30">
        <v>2</v>
      </c>
      <c r="K1220" s="30" t="s">
        <v>35</v>
      </c>
      <c r="L1220" s="30" t="s">
        <v>324</v>
      </c>
      <c r="M1220" s="30" t="s">
        <v>325</v>
      </c>
      <c r="P1220" s="130"/>
      <c r="Q1220" s="130"/>
      <c r="R1220" s="130"/>
      <c r="S1220" s="130"/>
      <c r="T1220"/>
    </row>
    <row r="1221" spans="4:20">
      <c r="D1221" s="30" t="s">
        <v>454</v>
      </c>
      <c r="E1221" s="30" t="s">
        <v>45</v>
      </c>
      <c r="G1221" s="35" t="s">
        <v>378</v>
      </c>
      <c r="H1221" s="35" t="s">
        <v>379</v>
      </c>
      <c r="I1221" s="30" t="s">
        <v>48</v>
      </c>
      <c r="J1221" s="30">
        <v>2</v>
      </c>
      <c r="K1221" s="30" t="s">
        <v>35</v>
      </c>
      <c r="L1221" s="30" t="s">
        <v>358</v>
      </c>
      <c r="M1221" s="30" t="s">
        <v>325</v>
      </c>
      <c r="P1221" s="130"/>
      <c r="Q1221" s="130"/>
      <c r="R1221" s="130"/>
      <c r="S1221" s="130"/>
      <c r="T1221"/>
    </row>
    <row r="1222" spans="4:20">
      <c r="D1222" s="30" t="s">
        <v>454</v>
      </c>
      <c r="E1222" s="30" t="s">
        <v>331</v>
      </c>
      <c r="F1222" s="35" t="s">
        <v>345</v>
      </c>
      <c r="I1222" s="30" t="s">
        <v>333</v>
      </c>
      <c r="J1222" s="30">
        <v>1</v>
      </c>
      <c r="K1222" s="30" t="s">
        <v>35</v>
      </c>
      <c r="L1222" s="30" t="s">
        <v>107</v>
      </c>
      <c r="M1222" s="30" t="s">
        <v>325</v>
      </c>
      <c r="P1222" s="130"/>
      <c r="Q1222" s="130"/>
      <c r="R1222" s="130"/>
      <c r="S1222" s="130"/>
      <c r="T1222"/>
    </row>
    <row r="1223" spans="4:20">
      <c r="D1223" s="30" t="s">
        <v>454</v>
      </c>
      <c r="E1223" s="30" t="s">
        <v>353</v>
      </c>
      <c r="F1223" s="35" t="s">
        <v>354</v>
      </c>
      <c r="I1223" s="30" t="s">
        <v>355</v>
      </c>
      <c r="J1223" s="30" t="s">
        <v>352</v>
      </c>
      <c r="K1223" s="30" t="s">
        <v>35</v>
      </c>
      <c r="L1223" s="30" t="s">
        <v>107</v>
      </c>
      <c r="M1223" s="30" t="s">
        <v>325</v>
      </c>
      <c r="P1223" s="130"/>
      <c r="Q1223" s="130"/>
      <c r="R1223" s="130"/>
      <c r="S1223" s="130"/>
      <c r="T1223"/>
    </row>
    <row r="1224" spans="4:20">
      <c r="D1224" s="30" t="s">
        <v>454</v>
      </c>
      <c r="E1224" s="30" t="s">
        <v>349</v>
      </c>
      <c r="F1224" s="35" t="s">
        <v>450</v>
      </c>
      <c r="I1224" s="30" t="s">
        <v>351</v>
      </c>
      <c r="J1224" s="30" t="s">
        <v>352</v>
      </c>
      <c r="K1224" s="30" t="s">
        <v>35</v>
      </c>
      <c r="L1224" s="30" t="s">
        <v>324</v>
      </c>
      <c r="M1224" s="30" t="s">
        <v>325</v>
      </c>
      <c r="P1224" s="130"/>
      <c r="Q1224" s="130"/>
      <c r="R1224" s="130"/>
      <c r="S1224" s="130"/>
      <c r="T1224"/>
    </row>
    <row r="1225" spans="4:20">
      <c r="D1225" s="30" t="s">
        <v>532</v>
      </c>
      <c r="E1225" s="30" t="s">
        <v>46</v>
      </c>
      <c r="F1225" s="35" t="s">
        <v>335</v>
      </c>
      <c r="I1225" s="30" t="s">
        <v>333</v>
      </c>
      <c r="J1225" s="30">
        <v>1</v>
      </c>
      <c r="K1225" s="30" t="s">
        <v>35</v>
      </c>
      <c r="L1225" s="30" t="s">
        <v>336</v>
      </c>
      <c r="M1225" s="30" t="s">
        <v>325</v>
      </c>
      <c r="P1225" s="130"/>
      <c r="Q1225" s="130"/>
      <c r="R1225" s="130"/>
      <c r="S1225" s="130"/>
      <c r="T1225"/>
    </row>
    <row r="1226" spans="4:20">
      <c r="D1226" s="30" t="s">
        <v>532</v>
      </c>
      <c r="E1226" s="30" t="s">
        <v>337</v>
      </c>
      <c r="F1226" s="35" t="s">
        <v>368</v>
      </c>
      <c r="I1226" s="30" t="s">
        <v>333</v>
      </c>
      <c r="J1226" s="30">
        <v>1</v>
      </c>
      <c r="K1226" s="30" t="s">
        <v>35</v>
      </c>
      <c r="L1226" s="30" t="s">
        <v>336</v>
      </c>
      <c r="M1226" s="30" t="s">
        <v>325</v>
      </c>
      <c r="P1226" s="130"/>
      <c r="Q1226" s="130"/>
      <c r="R1226" s="130"/>
      <c r="S1226" s="130"/>
      <c r="T1226"/>
    </row>
    <row r="1227" spans="4:20">
      <c r="D1227" s="30" t="s">
        <v>532</v>
      </c>
      <c r="E1227" s="30" t="s">
        <v>334</v>
      </c>
      <c r="H1227" s="35" t="s">
        <v>386</v>
      </c>
      <c r="I1227" s="30" t="s">
        <v>333</v>
      </c>
      <c r="J1227" s="30">
        <v>1</v>
      </c>
      <c r="K1227" s="30" t="s">
        <v>35</v>
      </c>
      <c r="L1227" s="30" t="s">
        <v>336</v>
      </c>
      <c r="M1227" s="30" t="s">
        <v>325</v>
      </c>
      <c r="P1227" s="130"/>
      <c r="Q1227" s="130"/>
      <c r="R1227" s="130"/>
      <c r="S1227" s="130"/>
      <c r="T1227"/>
    </row>
    <row r="1228" spans="4:20">
      <c r="D1228" s="30" t="s">
        <v>532</v>
      </c>
      <c r="E1228" s="30" t="s">
        <v>338</v>
      </c>
      <c r="F1228" s="35" t="s">
        <v>339</v>
      </c>
      <c r="I1228" s="30" t="s">
        <v>333</v>
      </c>
      <c r="J1228" s="30">
        <v>1</v>
      </c>
      <c r="K1228" s="30" t="s">
        <v>35</v>
      </c>
      <c r="L1228" s="30" t="s">
        <v>107</v>
      </c>
      <c r="M1228" s="30" t="s">
        <v>325</v>
      </c>
      <c r="P1228" s="130"/>
      <c r="Q1228" s="130"/>
      <c r="R1228" s="130"/>
      <c r="S1228" s="130"/>
      <c r="T1228"/>
    </row>
    <row r="1229" spans="4:20">
      <c r="D1229" s="30" t="s">
        <v>532</v>
      </c>
      <c r="E1229" s="30" t="s">
        <v>322</v>
      </c>
      <c r="G1229" s="35" t="s">
        <v>390</v>
      </c>
      <c r="H1229" s="35" t="s">
        <v>400</v>
      </c>
      <c r="I1229" s="30" t="s">
        <v>48</v>
      </c>
      <c r="J1229" s="30">
        <v>2</v>
      </c>
      <c r="K1229" s="30" t="s">
        <v>35</v>
      </c>
      <c r="L1229" s="30" t="s">
        <v>324</v>
      </c>
      <c r="M1229" s="30" t="s">
        <v>325</v>
      </c>
      <c r="P1229" s="130"/>
      <c r="Q1229" s="130"/>
      <c r="R1229" s="130"/>
      <c r="S1229" s="130"/>
      <c r="T1229"/>
    </row>
    <row r="1230" spans="4:20">
      <c r="D1230" s="30" t="s">
        <v>532</v>
      </c>
      <c r="E1230" s="30" t="s">
        <v>45</v>
      </c>
      <c r="F1230" s="35" t="s">
        <v>533</v>
      </c>
      <c r="I1230" s="30" t="s">
        <v>48</v>
      </c>
      <c r="J1230" s="30">
        <v>2</v>
      </c>
      <c r="K1230" s="30" t="s">
        <v>35</v>
      </c>
      <c r="L1230" s="30" t="s">
        <v>358</v>
      </c>
      <c r="M1230" s="30" t="s">
        <v>325</v>
      </c>
      <c r="T1230"/>
    </row>
    <row r="1231" spans="4:20">
      <c r="D1231" s="30" t="s">
        <v>532</v>
      </c>
      <c r="E1231" s="30" t="s">
        <v>331</v>
      </c>
      <c r="F1231" s="35" t="s">
        <v>345</v>
      </c>
      <c r="I1231" s="30" t="s">
        <v>333</v>
      </c>
      <c r="J1231" s="30">
        <v>1</v>
      </c>
      <c r="K1231" s="30" t="s">
        <v>35</v>
      </c>
      <c r="L1231" s="30" t="s">
        <v>107</v>
      </c>
      <c r="M1231" s="30" t="s">
        <v>325</v>
      </c>
      <c r="T1231"/>
    </row>
    <row r="1232" spans="4:20">
      <c r="D1232" s="30" t="s">
        <v>532</v>
      </c>
      <c r="E1232" s="30" t="s">
        <v>353</v>
      </c>
      <c r="F1232" s="35" t="s">
        <v>354</v>
      </c>
      <c r="I1232" s="30" t="s">
        <v>355</v>
      </c>
      <c r="J1232" s="30" t="s">
        <v>352</v>
      </c>
      <c r="K1232" s="30" t="s">
        <v>35</v>
      </c>
      <c r="L1232" s="30" t="s">
        <v>107</v>
      </c>
      <c r="M1232" s="30" t="s">
        <v>325</v>
      </c>
      <c r="T1232"/>
    </row>
    <row r="1233" spans="4:20" ht="15" customHeight="1">
      <c r="D1233" s="30" t="s">
        <v>532</v>
      </c>
      <c r="E1233" s="30" t="s">
        <v>326</v>
      </c>
      <c r="G1233" s="35" t="s">
        <v>367</v>
      </c>
      <c r="H1233" s="35" t="s">
        <v>408</v>
      </c>
      <c r="I1233" s="30" t="s">
        <v>329</v>
      </c>
      <c r="J1233" s="30">
        <v>2</v>
      </c>
      <c r="K1233" s="30" t="s">
        <v>35</v>
      </c>
      <c r="L1233" s="30" t="s">
        <v>330</v>
      </c>
      <c r="M1233" s="30" t="s">
        <v>325</v>
      </c>
      <c r="T1233"/>
    </row>
    <row r="1234" spans="4:20" ht="15" customHeight="1">
      <c r="D1234" s="30" t="s">
        <v>532</v>
      </c>
      <c r="E1234" s="30" t="s">
        <v>349</v>
      </c>
      <c r="F1234" s="35" t="s">
        <v>402</v>
      </c>
      <c r="I1234" s="30" t="s">
        <v>351</v>
      </c>
      <c r="J1234" s="30" t="s">
        <v>352</v>
      </c>
      <c r="K1234" s="30" t="s">
        <v>35</v>
      </c>
      <c r="L1234" s="30" t="s">
        <v>324</v>
      </c>
      <c r="M1234" s="30" t="s">
        <v>325</v>
      </c>
      <c r="T1234"/>
    </row>
    <row r="1235" spans="4:20" ht="15" customHeight="1">
      <c r="D1235" s="30" t="s">
        <v>455</v>
      </c>
      <c r="E1235" s="30" t="s">
        <v>46</v>
      </c>
      <c r="F1235" s="35" t="s">
        <v>335</v>
      </c>
      <c r="I1235" s="30" t="s">
        <v>333</v>
      </c>
      <c r="J1235" s="30">
        <v>1</v>
      </c>
      <c r="K1235" s="30" t="s">
        <v>35</v>
      </c>
      <c r="L1235" s="30" t="s">
        <v>336</v>
      </c>
      <c r="M1235" s="30" t="s">
        <v>325</v>
      </c>
      <c r="T1235"/>
    </row>
    <row r="1236" spans="4:20" ht="15" customHeight="1">
      <c r="D1236" s="30" t="s">
        <v>455</v>
      </c>
      <c r="E1236" s="30" t="s">
        <v>337</v>
      </c>
      <c r="F1236" s="35" t="s">
        <v>387</v>
      </c>
      <c r="I1236" s="30" t="s">
        <v>333</v>
      </c>
      <c r="J1236" s="30">
        <v>1</v>
      </c>
      <c r="K1236" s="30" t="s">
        <v>35</v>
      </c>
      <c r="L1236" s="30" t="s">
        <v>336</v>
      </c>
      <c r="M1236" s="30" t="s">
        <v>325</v>
      </c>
      <c r="T1236"/>
    </row>
    <row r="1237" spans="4:20" ht="15" customHeight="1">
      <c r="D1237" s="30" t="s">
        <v>455</v>
      </c>
      <c r="E1237" s="30" t="s">
        <v>334</v>
      </c>
      <c r="H1237" s="35" t="s">
        <v>386</v>
      </c>
      <c r="I1237" s="30" t="s">
        <v>333</v>
      </c>
      <c r="J1237" s="30">
        <v>1</v>
      </c>
      <c r="K1237" s="30" t="s">
        <v>35</v>
      </c>
      <c r="L1237" s="30" t="s">
        <v>336</v>
      </c>
      <c r="M1237" s="30" t="s">
        <v>325</v>
      </c>
      <c r="T1237"/>
    </row>
    <row r="1238" spans="4:20" ht="15" customHeight="1">
      <c r="D1238" s="30" t="s">
        <v>455</v>
      </c>
      <c r="E1238" s="30" t="s">
        <v>338</v>
      </c>
      <c r="F1238" s="35" t="s">
        <v>339</v>
      </c>
      <c r="I1238" s="30" t="s">
        <v>333</v>
      </c>
      <c r="J1238" s="30">
        <v>1</v>
      </c>
      <c r="K1238" s="30" t="s">
        <v>35</v>
      </c>
      <c r="L1238" s="30" t="s">
        <v>107</v>
      </c>
      <c r="M1238" s="30" t="s">
        <v>325</v>
      </c>
      <c r="T1238"/>
    </row>
    <row r="1239" spans="4:20" ht="15" customHeight="1">
      <c r="D1239" s="30" t="s">
        <v>455</v>
      </c>
      <c r="E1239" s="30" t="s">
        <v>322</v>
      </c>
      <c r="G1239" s="35" t="s">
        <v>456</v>
      </c>
      <c r="H1239" s="35" t="s">
        <v>390</v>
      </c>
      <c r="I1239" s="30" t="s">
        <v>48</v>
      </c>
      <c r="J1239" s="30">
        <v>2</v>
      </c>
      <c r="K1239" s="30" t="s">
        <v>35</v>
      </c>
      <c r="L1239" s="30" t="s">
        <v>324</v>
      </c>
      <c r="M1239" s="30" t="s">
        <v>325</v>
      </c>
      <c r="T1239"/>
    </row>
    <row r="1240" spans="4:20" ht="15" customHeight="1">
      <c r="D1240" s="30" t="s">
        <v>455</v>
      </c>
      <c r="E1240" s="30" t="s">
        <v>45</v>
      </c>
      <c r="G1240" s="35" t="s">
        <v>364</v>
      </c>
      <c r="H1240" s="35" t="s">
        <v>378</v>
      </c>
      <c r="I1240" s="30" t="s">
        <v>48</v>
      </c>
      <c r="J1240" s="30">
        <v>2</v>
      </c>
      <c r="K1240" s="30" t="s">
        <v>35</v>
      </c>
      <c r="L1240" s="30" t="s">
        <v>358</v>
      </c>
      <c r="M1240" s="30" t="s">
        <v>325</v>
      </c>
      <c r="T1240"/>
    </row>
    <row r="1241" spans="4:20" ht="15" customHeight="1">
      <c r="D1241" s="30" t="s">
        <v>455</v>
      </c>
      <c r="E1241" s="30" t="s">
        <v>331</v>
      </c>
      <c r="F1241" s="35" t="s">
        <v>345</v>
      </c>
      <c r="I1241" s="30" t="s">
        <v>333</v>
      </c>
      <c r="J1241" s="30">
        <v>1</v>
      </c>
      <c r="K1241" s="30" t="s">
        <v>35</v>
      </c>
      <c r="L1241" s="30" t="s">
        <v>107</v>
      </c>
      <c r="M1241" s="30" t="s">
        <v>325</v>
      </c>
      <c r="T1241"/>
    </row>
    <row r="1242" spans="4:20" ht="15" customHeight="1">
      <c r="D1242" s="30" t="s">
        <v>455</v>
      </c>
      <c r="E1242" s="30" t="s">
        <v>353</v>
      </c>
      <c r="F1242" s="35" t="s">
        <v>354</v>
      </c>
      <c r="I1242" s="30" t="s">
        <v>355</v>
      </c>
      <c r="J1242" s="30" t="s">
        <v>352</v>
      </c>
      <c r="K1242" s="30" t="s">
        <v>35</v>
      </c>
      <c r="L1242" s="30" t="s">
        <v>107</v>
      </c>
      <c r="M1242" s="30" t="s">
        <v>325</v>
      </c>
      <c r="T1242"/>
    </row>
    <row r="1243" spans="4:20" ht="15" customHeight="1">
      <c r="D1243" s="30" t="s">
        <v>455</v>
      </c>
      <c r="E1243" s="30" t="s">
        <v>326</v>
      </c>
      <c r="G1243" s="35" t="s">
        <v>457</v>
      </c>
      <c r="H1243" s="35" t="s">
        <v>458</v>
      </c>
      <c r="I1243" s="30" t="s">
        <v>329</v>
      </c>
      <c r="J1243" s="30">
        <v>2</v>
      </c>
      <c r="K1243" s="30" t="s">
        <v>35</v>
      </c>
      <c r="L1243" s="30" t="s">
        <v>459</v>
      </c>
      <c r="M1243" s="30" t="s">
        <v>325</v>
      </c>
      <c r="T1243"/>
    </row>
    <row r="1244" spans="4:20">
      <c r="D1244" s="30" t="s">
        <v>455</v>
      </c>
      <c r="E1244" s="30" t="s">
        <v>349</v>
      </c>
      <c r="F1244" s="35" t="s">
        <v>460</v>
      </c>
      <c r="I1244" s="30" t="s">
        <v>351</v>
      </c>
      <c r="J1244" s="30" t="s">
        <v>352</v>
      </c>
      <c r="K1244" s="30" t="s">
        <v>35</v>
      </c>
      <c r="L1244" s="30" t="s">
        <v>324</v>
      </c>
      <c r="M1244" s="30" t="s">
        <v>325</v>
      </c>
      <c r="T1244"/>
    </row>
    <row r="1245" spans="4:20">
      <c r="D1245" s="30" t="s">
        <v>700</v>
      </c>
      <c r="E1245" s="30" t="s">
        <v>46</v>
      </c>
      <c r="F1245" s="35" t="s">
        <v>335</v>
      </c>
      <c r="I1245" s="30" t="s">
        <v>333</v>
      </c>
      <c r="J1245" s="30">
        <v>1</v>
      </c>
      <c r="K1245" s="30" t="s">
        <v>35</v>
      </c>
      <c r="L1245" s="30" t="s">
        <v>336</v>
      </c>
      <c r="M1245" s="30" t="s">
        <v>325</v>
      </c>
      <c r="T1245"/>
    </row>
    <row r="1246" spans="4:20">
      <c r="D1246" s="30" t="s">
        <v>700</v>
      </c>
      <c r="E1246" s="30" t="s">
        <v>337</v>
      </c>
      <c r="F1246" s="35" t="s">
        <v>387</v>
      </c>
      <c r="I1246" s="30" t="s">
        <v>333</v>
      </c>
      <c r="J1246" s="30">
        <v>1</v>
      </c>
      <c r="K1246" s="30" t="s">
        <v>35</v>
      </c>
      <c r="L1246" s="30" t="s">
        <v>336</v>
      </c>
      <c r="M1246" s="30" t="s">
        <v>325</v>
      </c>
      <c r="T1246"/>
    </row>
    <row r="1247" spans="4:20">
      <c r="D1247" s="30" t="s">
        <v>700</v>
      </c>
      <c r="E1247" s="30" t="s">
        <v>334</v>
      </c>
      <c r="F1247" s="35" t="s">
        <v>335</v>
      </c>
      <c r="I1247" s="30" t="s">
        <v>333</v>
      </c>
      <c r="J1247" s="30">
        <v>1</v>
      </c>
      <c r="K1247" s="30" t="s">
        <v>35</v>
      </c>
      <c r="L1247" s="30" t="s">
        <v>336</v>
      </c>
      <c r="M1247" s="30" t="s">
        <v>325</v>
      </c>
      <c r="T1247"/>
    </row>
    <row r="1248" spans="4:20">
      <c r="D1248" s="30" t="s">
        <v>700</v>
      </c>
      <c r="E1248" s="30" t="s">
        <v>338</v>
      </c>
      <c r="F1248" s="35" t="s">
        <v>339</v>
      </c>
      <c r="I1248" s="30" t="s">
        <v>333</v>
      </c>
      <c r="J1248" s="30">
        <v>1</v>
      </c>
      <c r="K1248" s="30" t="s">
        <v>35</v>
      </c>
      <c r="L1248" s="30" t="s">
        <v>107</v>
      </c>
      <c r="M1248" s="30" t="s">
        <v>325</v>
      </c>
      <c r="T1248"/>
    </row>
    <row r="1249" spans="4:20">
      <c r="D1249" s="30" t="s">
        <v>700</v>
      </c>
      <c r="E1249" s="30" t="s">
        <v>322</v>
      </c>
      <c r="G1249" s="35" t="s">
        <v>519</v>
      </c>
      <c r="H1249" s="35" t="s">
        <v>479</v>
      </c>
      <c r="I1249" s="30" t="s">
        <v>48</v>
      </c>
      <c r="J1249" s="30">
        <v>2</v>
      </c>
      <c r="K1249" s="30" t="s">
        <v>35</v>
      </c>
      <c r="L1249" s="30" t="s">
        <v>324</v>
      </c>
      <c r="M1249" s="30" t="s">
        <v>325</v>
      </c>
      <c r="T1249"/>
    </row>
    <row r="1250" spans="4:20">
      <c r="D1250" s="30" t="s">
        <v>700</v>
      </c>
      <c r="E1250" s="30" t="s">
        <v>45</v>
      </c>
      <c r="G1250" s="35" t="s">
        <v>403</v>
      </c>
      <c r="H1250" s="35" t="s">
        <v>357</v>
      </c>
      <c r="I1250" s="30" t="s">
        <v>48</v>
      </c>
      <c r="J1250" s="30">
        <v>2</v>
      </c>
      <c r="K1250" s="30" t="s">
        <v>35</v>
      </c>
      <c r="L1250" s="30" t="s">
        <v>358</v>
      </c>
      <c r="M1250" s="30" t="s">
        <v>325</v>
      </c>
      <c r="T1250"/>
    </row>
    <row r="1251" spans="4:20">
      <c r="D1251" s="30" t="s">
        <v>700</v>
      </c>
      <c r="E1251" s="30" t="s">
        <v>331</v>
      </c>
      <c r="F1251" s="35" t="s">
        <v>345</v>
      </c>
      <c r="I1251" s="30" t="s">
        <v>333</v>
      </c>
      <c r="J1251" s="30">
        <v>1</v>
      </c>
      <c r="K1251" s="30" t="s">
        <v>35</v>
      </c>
      <c r="L1251" s="30" t="s">
        <v>107</v>
      </c>
      <c r="M1251" s="30" t="s">
        <v>325</v>
      </c>
      <c r="T1251"/>
    </row>
    <row r="1252" spans="4:20">
      <c r="D1252" s="30" t="s">
        <v>700</v>
      </c>
      <c r="E1252" s="30" t="s">
        <v>353</v>
      </c>
      <c r="F1252" s="35" t="s">
        <v>354</v>
      </c>
      <c r="I1252" s="30" t="s">
        <v>355</v>
      </c>
      <c r="J1252" s="30" t="s">
        <v>352</v>
      </c>
      <c r="K1252" s="30" t="s">
        <v>35</v>
      </c>
      <c r="L1252" s="30" t="s">
        <v>107</v>
      </c>
      <c r="M1252" s="30" t="s">
        <v>325</v>
      </c>
      <c r="T1252"/>
    </row>
    <row r="1253" spans="4:20">
      <c r="D1253" s="30" t="s">
        <v>700</v>
      </c>
      <c r="E1253" s="30" t="s">
        <v>326</v>
      </c>
      <c r="G1253" s="35" t="s">
        <v>581</v>
      </c>
      <c r="H1253" s="35" t="s">
        <v>480</v>
      </c>
      <c r="I1253" s="30" t="s">
        <v>329</v>
      </c>
      <c r="J1253" s="30">
        <v>2</v>
      </c>
      <c r="K1253" s="30" t="s">
        <v>35</v>
      </c>
      <c r="L1253" s="30" t="s">
        <v>330</v>
      </c>
      <c r="M1253" s="30" t="s">
        <v>325</v>
      </c>
      <c r="T1253"/>
    </row>
    <row r="1254" spans="4:20">
      <c r="D1254" s="30" t="s">
        <v>700</v>
      </c>
      <c r="E1254" s="30" t="s">
        <v>349</v>
      </c>
      <c r="F1254" s="35" t="s">
        <v>520</v>
      </c>
      <c r="I1254" s="30" t="s">
        <v>351</v>
      </c>
      <c r="J1254" s="30" t="s">
        <v>352</v>
      </c>
      <c r="K1254" s="30" t="s">
        <v>35</v>
      </c>
      <c r="L1254" s="30" t="s">
        <v>324</v>
      </c>
      <c r="M1254" s="30" t="s">
        <v>325</v>
      </c>
      <c r="T1254"/>
    </row>
    <row r="1255" spans="4:20">
      <c r="D1255" s="30" t="s">
        <v>461</v>
      </c>
      <c r="E1255" s="30" t="s">
        <v>46</v>
      </c>
      <c r="H1255" s="35" t="s">
        <v>132</v>
      </c>
      <c r="I1255" s="30" t="s">
        <v>333</v>
      </c>
      <c r="J1255" s="30">
        <v>1</v>
      </c>
      <c r="K1255" s="30" t="s">
        <v>35</v>
      </c>
      <c r="L1255" s="30" t="s">
        <v>336</v>
      </c>
      <c r="M1255" s="30" t="s">
        <v>325</v>
      </c>
      <c r="T1255"/>
    </row>
    <row r="1256" spans="4:20">
      <c r="D1256" s="30" t="s">
        <v>461</v>
      </c>
      <c r="E1256" s="30" t="s">
        <v>47</v>
      </c>
      <c r="F1256" s="35" t="s">
        <v>335</v>
      </c>
      <c r="I1256" s="30" t="s">
        <v>333</v>
      </c>
      <c r="J1256" s="30">
        <v>1</v>
      </c>
      <c r="K1256" s="30" t="s">
        <v>35</v>
      </c>
      <c r="L1256" s="30" t="s">
        <v>336</v>
      </c>
      <c r="M1256" s="30" t="s">
        <v>325</v>
      </c>
      <c r="T1256"/>
    </row>
    <row r="1257" spans="4:20">
      <c r="D1257" s="30" t="s">
        <v>461</v>
      </c>
      <c r="E1257" s="30" t="s">
        <v>338</v>
      </c>
      <c r="F1257" s="35" t="s">
        <v>339</v>
      </c>
      <c r="I1257" s="30" t="s">
        <v>333</v>
      </c>
      <c r="J1257" s="30">
        <v>1</v>
      </c>
      <c r="K1257" s="30" t="s">
        <v>35</v>
      </c>
      <c r="L1257" s="30" t="s">
        <v>107</v>
      </c>
      <c r="M1257" s="30" t="s">
        <v>325</v>
      </c>
      <c r="T1257"/>
    </row>
    <row r="1258" spans="4:20">
      <c r="D1258" s="30" t="s">
        <v>461</v>
      </c>
      <c r="E1258" s="30" t="s">
        <v>322</v>
      </c>
      <c r="G1258" s="35" t="s">
        <v>372</v>
      </c>
      <c r="H1258" s="35" t="s">
        <v>400</v>
      </c>
      <c r="I1258" s="30" t="s">
        <v>48</v>
      </c>
      <c r="J1258" s="30">
        <v>2</v>
      </c>
      <c r="K1258" s="30" t="s">
        <v>35</v>
      </c>
      <c r="L1258" s="30" t="s">
        <v>324</v>
      </c>
      <c r="M1258" s="30" t="s">
        <v>325</v>
      </c>
      <c r="T1258"/>
    </row>
    <row r="1259" spans="4:20">
      <c r="D1259" s="30" t="s">
        <v>461</v>
      </c>
      <c r="E1259" s="30" t="s">
        <v>45</v>
      </c>
      <c r="G1259" s="35" t="s">
        <v>464</v>
      </c>
      <c r="H1259" s="35" t="s">
        <v>465</v>
      </c>
      <c r="I1259" s="30" t="s">
        <v>48</v>
      </c>
      <c r="J1259" s="30">
        <v>2</v>
      </c>
      <c r="K1259" s="30" t="s">
        <v>35</v>
      </c>
      <c r="L1259" s="30" t="s">
        <v>422</v>
      </c>
      <c r="M1259" s="30" t="s">
        <v>325</v>
      </c>
      <c r="T1259"/>
    </row>
    <row r="1260" spans="4:20">
      <c r="D1260" s="30" t="s">
        <v>461</v>
      </c>
      <c r="E1260" s="30" t="s">
        <v>331</v>
      </c>
      <c r="F1260" s="35" t="s">
        <v>345</v>
      </c>
      <c r="I1260" s="30" t="s">
        <v>333</v>
      </c>
      <c r="J1260" s="30">
        <v>1</v>
      </c>
      <c r="K1260" s="30" t="s">
        <v>35</v>
      </c>
      <c r="L1260" s="30" t="s">
        <v>107</v>
      </c>
      <c r="M1260" s="30" t="s">
        <v>325</v>
      </c>
      <c r="T1260"/>
    </row>
    <row r="1261" spans="4:20">
      <c r="D1261" s="30" t="s">
        <v>461</v>
      </c>
      <c r="E1261" s="30" t="s">
        <v>353</v>
      </c>
      <c r="F1261" s="35" t="s">
        <v>354</v>
      </c>
      <c r="I1261" s="30" t="s">
        <v>355</v>
      </c>
      <c r="J1261" s="30" t="s">
        <v>352</v>
      </c>
      <c r="K1261" s="30" t="s">
        <v>35</v>
      </c>
      <c r="L1261" s="30" t="s">
        <v>107</v>
      </c>
      <c r="M1261" s="30" t="s">
        <v>325</v>
      </c>
      <c r="T1261"/>
    </row>
    <row r="1262" spans="4:20">
      <c r="D1262" s="30" t="s">
        <v>461</v>
      </c>
      <c r="E1262" s="30" t="s">
        <v>326</v>
      </c>
      <c r="G1262" s="35" t="s">
        <v>374</v>
      </c>
      <c r="H1262" s="35" t="s">
        <v>462</v>
      </c>
      <c r="I1262" s="30" t="s">
        <v>329</v>
      </c>
      <c r="J1262" s="30">
        <v>2</v>
      </c>
      <c r="K1262" s="30" t="s">
        <v>35</v>
      </c>
      <c r="L1262" s="30" t="s">
        <v>330</v>
      </c>
      <c r="M1262" s="30" t="s">
        <v>325</v>
      </c>
      <c r="T1262"/>
    </row>
    <row r="1263" spans="4:20" ht="15" customHeight="1">
      <c r="D1263" s="30" t="s">
        <v>461</v>
      </c>
      <c r="E1263" s="30" t="s">
        <v>349</v>
      </c>
      <c r="F1263" s="35" t="s">
        <v>463</v>
      </c>
      <c r="I1263" s="30" t="s">
        <v>351</v>
      </c>
      <c r="J1263" s="30" t="s">
        <v>352</v>
      </c>
      <c r="K1263" s="30" t="s">
        <v>35</v>
      </c>
      <c r="L1263" s="30" t="s">
        <v>324</v>
      </c>
      <c r="M1263" s="30" t="s">
        <v>325</v>
      </c>
      <c r="T1263"/>
    </row>
    <row r="1264" spans="4:20" ht="15" customHeight="1">
      <c r="D1264" s="30" t="s">
        <v>466</v>
      </c>
      <c r="E1264" s="30" t="s">
        <v>46</v>
      </c>
      <c r="F1264" s="35" t="s">
        <v>335</v>
      </c>
      <c r="I1264" s="30" t="s">
        <v>333</v>
      </c>
      <c r="J1264" s="30">
        <v>1</v>
      </c>
      <c r="K1264" s="30" t="s">
        <v>35</v>
      </c>
      <c r="L1264" s="30" t="s">
        <v>336</v>
      </c>
      <c r="M1264" s="30" t="s">
        <v>325</v>
      </c>
      <c r="T1264"/>
    </row>
    <row r="1265" spans="4:20" ht="15" customHeight="1">
      <c r="D1265" s="30" t="s">
        <v>466</v>
      </c>
      <c r="E1265" s="30" t="s">
        <v>337</v>
      </c>
      <c r="F1265" s="35" t="s">
        <v>387</v>
      </c>
      <c r="I1265" s="30" t="s">
        <v>333</v>
      </c>
      <c r="J1265" s="30">
        <v>1</v>
      </c>
      <c r="K1265" s="30" t="s">
        <v>35</v>
      </c>
      <c r="L1265" s="30" t="s">
        <v>336</v>
      </c>
      <c r="M1265" s="30" t="s">
        <v>325</v>
      </c>
      <c r="T1265"/>
    </row>
    <row r="1266" spans="4:20" ht="15" customHeight="1">
      <c r="D1266" s="30" t="s">
        <v>466</v>
      </c>
      <c r="E1266" s="30" t="s">
        <v>334</v>
      </c>
      <c r="H1266" s="35" t="s">
        <v>386</v>
      </c>
      <c r="I1266" s="30" t="s">
        <v>333</v>
      </c>
      <c r="J1266" s="30">
        <v>1</v>
      </c>
      <c r="K1266" s="30" t="s">
        <v>35</v>
      </c>
      <c r="L1266" s="30" t="s">
        <v>336</v>
      </c>
      <c r="M1266" s="30" t="s">
        <v>325</v>
      </c>
      <c r="T1266"/>
    </row>
    <row r="1267" spans="4:20" ht="15" customHeight="1">
      <c r="D1267" s="30" t="s">
        <v>466</v>
      </c>
      <c r="E1267" s="30" t="s">
        <v>338</v>
      </c>
      <c r="F1267" s="35" t="s">
        <v>339</v>
      </c>
      <c r="I1267" s="30" t="s">
        <v>333</v>
      </c>
      <c r="J1267" s="30">
        <v>1</v>
      </c>
      <c r="K1267" s="30" t="s">
        <v>35</v>
      </c>
      <c r="L1267" s="30" t="s">
        <v>107</v>
      </c>
      <c r="M1267" s="30" t="s">
        <v>325</v>
      </c>
      <c r="T1267"/>
    </row>
    <row r="1268" spans="4:20" ht="15" customHeight="1">
      <c r="D1268" s="30" t="s">
        <v>466</v>
      </c>
      <c r="E1268" s="30" t="s">
        <v>322</v>
      </c>
      <c r="G1268" s="35" t="s">
        <v>467</v>
      </c>
      <c r="H1268" s="35" t="s">
        <v>468</v>
      </c>
      <c r="I1268" s="30" t="s">
        <v>48</v>
      </c>
      <c r="J1268" s="30">
        <v>2</v>
      </c>
      <c r="K1268" s="30" t="s">
        <v>35</v>
      </c>
      <c r="L1268" s="30" t="s">
        <v>469</v>
      </c>
      <c r="M1268" s="30" t="s">
        <v>325</v>
      </c>
      <c r="T1268"/>
    </row>
    <row r="1269" spans="4:20" ht="15" customHeight="1">
      <c r="D1269" s="30" t="s">
        <v>466</v>
      </c>
      <c r="E1269" s="30" t="s">
        <v>45</v>
      </c>
      <c r="G1269" s="35" t="s">
        <v>364</v>
      </c>
      <c r="H1269" s="35" t="s">
        <v>365</v>
      </c>
      <c r="I1269" s="30" t="s">
        <v>48</v>
      </c>
      <c r="J1269" s="30">
        <v>2</v>
      </c>
      <c r="K1269" s="30" t="s">
        <v>35</v>
      </c>
      <c r="L1269" s="30" t="s">
        <v>358</v>
      </c>
      <c r="M1269" s="30" t="s">
        <v>325</v>
      </c>
      <c r="T1269"/>
    </row>
    <row r="1270" spans="4:20" ht="15" customHeight="1">
      <c r="D1270" s="30" t="s">
        <v>466</v>
      </c>
      <c r="E1270" s="30" t="s">
        <v>331</v>
      </c>
      <c r="F1270" s="35" t="s">
        <v>345</v>
      </c>
      <c r="I1270" s="30" t="s">
        <v>333</v>
      </c>
      <c r="J1270" s="30">
        <v>1</v>
      </c>
      <c r="K1270" s="30" t="s">
        <v>35</v>
      </c>
      <c r="L1270" s="30" t="s">
        <v>107</v>
      </c>
      <c r="M1270" s="30" t="s">
        <v>325</v>
      </c>
      <c r="T1270"/>
    </row>
    <row r="1271" spans="4:20" ht="15" customHeight="1">
      <c r="D1271" s="30" t="s">
        <v>466</v>
      </c>
      <c r="E1271" s="30" t="s">
        <v>353</v>
      </c>
      <c r="F1271" s="35" t="s">
        <v>354</v>
      </c>
      <c r="I1271" s="30" t="s">
        <v>355</v>
      </c>
      <c r="J1271" s="30" t="s">
        <v>352</v>
      </c>
      <c r="K1271" s="30" t="s">
        <v>35</v>
      </c>
      <c r="L1271" s="30" t="s">
        <v>107</v>
      </c>
      <c r="M1271" s="30" t="s">
        <v>325</v>
      </c>
      <c r="T1271"/>
    </row>
    <row r="1272" spans="4:20" ht="15" customHeight="1">
      <c r="D1272" s="30" t="s">
        <v>466</v>
      </c>
      <c r="E1272" s="30" t="s">
        <v>349</v>
      </c>
      <c r="F1272" s="35" t="s">
        <v>470</v>
      </c>
      <c r="I1272" s="30" t="s">
        <v>351</v>
      </c>
      <c r="J1272" s="30" t="s">
        <v>352</v>
      </c>
      <c r="K1272" s="30" t="s">
        <v>35</v>
      </c>
      <c r="L1272" s="30" t="s">
        <v>469</v>
      </c>
      <c r="M1272" s="30" t="s">
        <v>325</v>
      </c>
      <c r="T1272"/>
    </row>
    <row r="1273" spans="4:20">
      <c r="D1273" s="30" t="s">
        <v>537</v>
      </c>
      <c r="E1273" s="30" t="s">
        <v>46</v>
      </c>
      <c r="F1273" s="35" t="s">
        <v>335</v>
      </c>
      <c r="I1273" s="30" t="s">
        <v>333</v>
      </c>
      <c r="J1273" s="30">
        <v>1</v>
      </c>
      <c r="K1273" s="30" t="s">
        <v>35</v>
      </c>
      <c r="L1273" s="30" t="s">
        <v>336</v>
      </c>
      <c r="M1273" s="30" t="s">
        <v>325</v>
      </c>
      <c r="T1273"/>
    </row>
    <row r="1274" spans="4:20">
      <c r="D1274" s="30" t="s">
        <v>537</v>
      </c>
      <c r="E1274" s="30" t="s">
        <v>337</v>
      </c>
      <c r="F1274" s="35" t="s">
        <v>335</v>
      </c>
      <c r="I1274" s="30" t="s">
        <v>333</v>
      </c>
      <c r="J1274" s="30">
        <v>1</v>
      </c>
      <c r="K1274" s="30" t="s">
        <v>35</v>
      </c>
      <c r="L1274" s="30" t="s">
        <v>336</v>
      </c>
      <c r="M1274" s="30" t="s">
        <v>325</v>
      </c>
      <c r="T1274"/>
    </row>
    <row r="1275" spans="4:20">
      <c r="D1275" s="30" t="s">
        <v>537</v>
      </c>
      <c r="E1275" s="30" t="s">
        <v>334</v>
      </c>
      <c r="F1275" s="35" t="s">
        <v>335</v>
      </c>
      <c r="I1275" s="30" t="s">
        <v>333</v>
      </c>
      <c r="J1275" s="30">
        <v>1</v>
      </c>
      <c r="K1275" s="30" t="s">
        <v>35</v>
      </c>
      <c r="L1275" s="30" t="s">
        <v>336</v>
      </c>
      <c r="M1275" s="30" t="s">
        <v>325</v>
      </c>
      <c r="T1275"/>
    </row>
    <row r="1276" spans="4:20">
      <c r="D1276" s="30" t="s">
        <v>537</v>
      </c>
      <c r="E1276" s="30" t="s">
        <v>338</v>
      </c>
      <c r="F1276" s="35" t="s">
        <v>339</v>
      </c>
      <c r="I1276" s="30" t="s">
        <v>333</v>
      </c>
      <c r="J1276" s="30">
        <v>1</v>
      </c>
      <c r="K1276" s="30" t="s">
        <v>35</v>
      </c>
      <c r="L1276" s="30" t="s">
        <v>107</v>
      </c>
      <c r="M1276" s="30" t="s">
        <v>325</v>
      </c>
      <c r="T1276"/>
    </row>
    <row r="1277" spans="4:20">
      <c r="D1277" s="30" t="s">
        <v>537</v>
      </c>
      <c r="E1277" s="30" t="s">
        <v>322</v>
      </c>
      <c r="G1277" s="35" t="s">
        <v>449</v>
      </c>
      <c r="H1277" s="35" t="s">
        <v>400</v>
      </c>
      <c r="I1277" s="30" t="s">
        <v>48</v>
      </c>
      <c r="J1277" s="30">
        <v>2</v>
      </c>
      <c r="K1277" s="30" t="s">
        <v>35</v>
      </c>
      <c r="L1277" s="30" t="s">
        <v>324</v>
      </c>
      <c r="M1277" s="30" t="s">
        <v>325</v>
      </c>
      <c r="T1277"/>
    </row>
    <row r="1278" spans="4:20">
      <c r="D1278" s="30" t="s">
        <v>537</v>
      </c>
      <c r="E1278" s="30" t="s">
        <v>45</v>
      </c>
      <c r="G1278" s="35" t="s">
        <v>403</v>
      </c>
      <c r="H1278" s="35" t="s">
        <v>379</v>
      </c>
      <c r="I1278" s="30" t="s">
        <v>48</v>
      </c>
      <c r="J1278" s="30">
        <v>2</v>
      </c>
      <c r="K1278" s="30" t="s">
        <v>35</v>
      </c>
      <c r="L1278" s="30" t="s">
        <v>358</v>
      </c>
      <c r="M1278" s="30" t="s">
        <v>325</v>
      </c>
      <c r="T1278"/>
    </row>
    <row r="1279" spans="4:20">
      <c r="D1279" s="30" t="s">
        <v>537</v>
      </c>
      <c r="E1279" s="30" t="s">
        <v>331</v>
      </c>
      <c r="F1279" s="35" t="s">
        <v>345</v>
      </c>
      <c r="I1279" s="30" t="s">
        <v>333</v>
      </c>
      <c r="J1279" s="30">
        <v>1</v>
      </c>
      <c r="K1279" s="30" t="s">
        <v>35</v>
      </c>
      <c r="L1279" s="30" t="s">
        <v>107</v>
      </c>
      <c r="M1279" s="30" t="s">
        <v>325</v>
      </c>
      <c r="T1279"/>
    </row>
    <row r="1280" spans="4:20">
      <c r="D1280" s="30" t="s">
        <v>537</v>
      </c>
      <c r="E1280" s="30" t="s">
        <v>353</v>
      </c>
      <c r="F1280" s="35" t="s">
        <v>354</v>
      </c>
      <c r="I1280" s="30" t="s">
        <v>355</v>
      </c>
      <c r="J1280" s="30" t="s">
        <v>352</v>
      </c>
      <c r="K1280" s="30" t="s">
        <v>35</v>
      </c>
      <c r="L1280" s="30" t="s">
        <v>107</v>
      </c>
      <c r="M1280" s="30" t="s">
        <v>325</v>
      </c>
      <c r="T1280"/>
    </row>
    <row r="1281" spans="4:20">
      <c r="D1281" s="30" t="s">
        <v>537</v>
      </c>
      <c r="E1281" s="30" t="s">
        <v>326</v>
      </c>
      <c r="G1281" s="35" t="s">
        <v>348</v>
      </c>
      <c r="H1281" s="35" t="s">
        <v>380</v>
      </c>
      <c r="I1281" s="30" t="s">
        <v>329</v>
      </c>
      <c r="J1281" s="30">
        <v>2</v>
      </c>
      <c r="K1281" s="30" t="s">
        <v>35</v>
      </c>
      <c r="L1281" s="30" t="s">
        <v>330</v>
      </c>
      <c r="M1281" s="30" t="s">
        <v>325</v>
      </c>
      <c r="T1281"/>
    </row>
    <row r="1282" spans="4:20">
      <c r="D1282" s="30" t="s">
        <v>537</v>
      </c>
      <c r="E1282" s="30" t="s">
        <v>349</v>
      </c>
      <c r="F1282" s="35" t="s">
        <v>538</v>
      </c>
      <c r="I1282" s="30" t="s">
        <v>351</v>
      </c>
      <c r="J1282" s="30" t="s">
        <v>352</v>
      </c>
      <c r="K1282" s="30" t="s">
        <v>35</v>
      </c>
      <c r="L1282" s="30" t="s">
        <v>324</v>
      </c>
      <c r="M1282" s="30" t="s">
        <v>325</v>
      </c>
      <c r="T1282"/>
    </row>
    <row r="1283" spans="4:20">
      <c r="D1283" s="30" t="s">
        <v>642</v>
      </c>
      <c r="E1283" s="30" t="s">
        <v>46</v>
      </c>
      <c r="F1283" s="35" t="s">
        <v>335</v>
      </c>
      <c r="I1283" s="30" t="s">
        <v>333</v>
      </c>
      <c r="J1283" s="30">
        <v>1</v>
      </c>
      <c r="K1283" s="30" t="s">
        <v>35</v>
      </c>
      <c r="L1283" s="30" t="s">
        <v>336</v>
      </c>
      <c r="M1283" s="30" t="s">
        <v>325</v>
      </c>
      <c r="T1283"/>
    </row>
    <row r="1284" spans="4:20">
      <c r="D1284" s="30" t="s">
        <v>642</v>
      </c>
      <c r="E1284" s="30" t="s">
        <v>337</v>
      </c>
      <c r="F1284" s="35" t="s">
        <v>368</v>
      </c>
      <c r="I1284" s="30" t="s">
        <v>333</v>
      </c>
      <c r="J1284" s="30">
        <v>1</v>
      </c>
      <c r="K1284" s="30" t="s">
        <v>35</v>
      </c>
      <c r="L1284" s="30" t="s">
        <v>336</v>
      </c>
      <c r="M1284" s="30" t="s">
        <v>325</v>
      </c>
      <c r="T1284"/>
    </row>
    <row r="1285" spans="4:20">
      <c r="D1285" s="30" t="s">
        <v>642</v>
      </c>
      <c r="E1285" s="30" t="s">
        <v>334</v>
      </c>
      <c r="H1285" s="35" t="s">
        <v>386</v>
      </c>
      <c r="I1285" s="30" t="s">
        <v>333</v>
      </c>
      <c r="J1285" s="30">
        <v>1</v>
      </c>
      <c r="K1285" s="30" t="s">
        <v>35</v>
      </c>
      <c r="L1285" s="30" t="s">
        <v>336</v>
      </c>
      <c r="M1285" s="30" t="s">
        <v>325</v>
      </c>
      <c r="T1285"/>
    </row>
    <row r="1286" spans="4:20">
      <c r="D1286" s="30" t="s">
        <v>642</v>
      </c>
      <c r="E1286" s="30" t="s">
        <v>338</v>
      </c>
      <c r="F1286" s="35" t="s">
        <v>339</v>
      </c>
      <c r="I1286" s="30" t="s">
        <v>333</v>
      </c>
      <c r="J1286" s="30">
        <v>1</v>
      </c>
      <c r="K1286" s="30" t="s">
        <v>35</v>
      </c>
      <c r="L1286" s="30" t="s">
        <v>107</v>
      </c>
      <c r="M1286" s="30" t="s">
        <v>325</v>
      </c>
      <c r="T1286"/>
    </row>
    <row r="1287" spans="4:20">
      <c r="D1287" s="30" t="s">
        <v>642</v>
      </c>
      <c r="E1287" s="30" t="s">
        <v>322</v>
      </c>
      <c r="G1287" s="35" t="s">
        <v>390</v>
      </c>
      <c r="H1287" s="35" t="s">
        <v>400</v>
      </c>
      <c r="I1287" s="30" t="s">
        <v>48</v>
      </c>
      <c r="J1287" s="30">
        <v>2</v>
      </c>
      <c r="K1287" s="30" t="s">
        <v>35</v>
      </c>
      <c r="L1287" s="30" t="s">
        <v>324</v>
      </c>
      <c r="M1287" s="30" t="s">
        <v>325</v>
      </c>
      <c r="T1287"/>
    </row>
    <row r="1288" spans="4:20">
      <c r="D1288" s="30" t="s">
        <v>642</v>
      </c>
      <c r="E1288" s="30" t="s">
        <v>45</v>
      </c>
      <c r="G1288" s="35" t="s">
        <v>378</v>
      </c>
      <c r="H1288" s="35" t="s">
        <v>379</v>
      </c>
      <c r="I1288" s="30" t="s">
        <v>48</v>
      </c>
      <c r="J1288" s="30">
        <v>2</v>
      </c>
      <c r="K1288" s="30" t="s">
        <v>35</v>
      </c>
      <c r="L1288" s="30" t="s">
        <v>358</v>
      </c>
      <c r="M1288" s="30" t="s">
        <v>325</v>
      </c>
      <c r="T1288"/>
    </row>
    <row r="1289" spans="4:20">
      <c r="D1289" s="30" t="s">
        <v>642</v>
      </c>
      <c r="E1289" s="30" t="s">
        <v>347</v>
      </c>
      <c r="G1289" s="35" t="s">
        <v>401</v>
      </c>
      <c r="I1289" s="30" t="s">
        <v>329</v>
      </c>
      <c r="J1289" s="30">
        <v>2</v>
      </c>
      <c r="K1289" s="30" t="s">
        <v>35</v>
      </c>
      <c r="L1289" s="30" t="s">
        <v>330</v>
      </c>
      <c r="M1289" s="30" t="s">
        <v>325</v>
      </c>
      <c r="T1289"/>
    </row>
    <row r="1290" spans="4:20">
      <c r="D1290" s="30" t="s">
        <v>642</v>
      </c>
      <c r="E1290" s="30" t="s">
        <v>331</v>
      </c>
      <c r="F1290" s="35" t="s">
        <v>345</v>
      </c>
      <c r="I1290" s="30" t="s">
        <v>333</v>
      </c>
      <c r="J1290" s="30">
        <v>1</v>
      </c>
      <c r="K1290" s="30" t="s">
        <v>35</v>
      </c>
      <c r="L1290" s="30" t="s">
        <v>107</v>
      </c>
      <c r="M1290" s="30" t="s">
        <v>325</v>
      </c>
      <c r="T1290"/>
    </row>
    <row r="1291" spans="4:20">
      <c r="D1291" s="30" t="s">
        <v>642</v>
      </c>
      <c r="E1291" s="30" t="s">
        <v>353</v>
      </c>
      <c r="F1291" s="35" t="s">
        <v>354</v>
      </c>
      <c r="I1291" s="30" t="s">
        <v>355</v>
      </c>
      <c r="J1291" s="30" t="s">
        <v>352</v>
      </c>
      <c r="K1291" s="30" t="s">
        <v>35</v>
      </c>
      <c r="L1291" s="30" t="s">
        <v>107</v>
      </c>
      <c r="M1291" s="30" t="s">
        <v>325</v>
      </c>
      <c r="T1291"/>
    </row>
    <row r="1292" spans="4:20">
      <c r="D1292" s="30" t="s">
        <v>642</v>
      </c>
      <c r="E1292" s="30" t="s">
        <v>326</v>
      </c>
      <c r="G1292" s="35" t="s">
        <v>367</v>
      </c>
      <c r="H1292" s="35" t="s">
        <v>408</v>
      </c>
      <c r="I1292" s="30" t="s">
        <v>329</v>
      </c>
      <c r="J1292" s="30">
        <v>2</v>
      </c>
      <c r="K1292" s="30" t="s">
        <v>35</v>
      </c>
      <c r="L1292" s="30" t="s">
        <v>330</v>
      </c>
      <c r="M1292" s="30" t="s">
        <v>325</v>
      </c>
      <c r="T1292"/>
    </row>
    <row r="1293" spans="4:20">
      <c r="D1293" s="30" t="s">
        <v>642</v>
      </c>
      <c r="E1293" s="30" t="s">
        <v>349</v>
      </c>
      <c r="F1293" s="35" t="s">
        <v>402</v>
      </c>
      <c r="I1293" s="30" t="s">
        <v>351</v>
      </c>
      <c r="J1293" s="30" t="s">
        <v>352</v>
      </c>
      <c r="K1293" s="30" t="s">
        <v>35</v>
      </c>
      <c r="L1293" s="30" t="s">
        <v>324</v>
      </c>
      <c r="M1293" s="30" t="s">
        <v>325</v>
      </c>
      <c r="T1293"/>
    </row>
    <row r="1294" spans="4:20">
      <c r="D1294" s="30" t="s">
        <v>551</v>
      </c>
      <c r="E1294" s="30" t="s">
        <v>46</v>
      </c>
      <c r="F1294" s="35" t="s">
        <v>335</v>
      </c>
      <c r="I1294" s="30" t="s">
        <v>333</v>
      </c>
      <c r="J1294" s="30">
        <v>1</v>
      </c>
      <c r="K1294" s="30" t="s">
        <v>35</v>
      </c>
      <c r="L1294" s="30" t="s">
        <v>336</v>
      </c>
      <c r="M1294" s="30" t="s">
        <v>325</v>
      </c>
      <c r="T1294"/>
    </row>
    <row r="1295" spans="4:20">
      <c r="D1295" s="30" t="s">
        <v>551</v>
      </c>
      <c r="E1295" s="30" t="s">
        <v>337</v>
      </c>
      <c r="F1295" s="35" t="s">
        <v>381</v>
      </c>
      <c r="I1295" s="30" t="s">
        <v>333</v>
      </c>
      <c r="J1295" s="30">
        <v>1</v>
      </c>
      <c r="K1295" s="30" t="s">
        <v>35</v>
      </c>
      <c r="L1295" s="30" t="s">
        <v>336</v>
      </c>
      <c r="M1295" s="30" t="s">
        <v>325</v>
      </c>
      <c r="T1295"/>
    </row>
    <row r="1296" spans="4:20">
      <c r="D1296" s="30" t="s">
        <v>551</v>
      </c>
      <c r="E1296" s="30" t="s">
        <v>334</v>
      </c>
      <c r="F1296" s="35" t="s">
        <v>335</v>
      </c>
      <c r="I1296" s="30" t="s">
        <v>333</v>
      </c>
      <c r="J1296" s="30">
        <v>1</v>
      </c>
      <c r="K1296" s="30" t="s">
        <v>35</v>
      </c>
      <c r="L1296" s="30" t="s">
        <v>336</v>
      </c>
      <c r="M1296" s="30" t="s">
        <v>325</v>
      </c>
      <c r="P1296" s="130"/>
      <c r="Q1296" s="130"/>
      <c r="R1296" s="130"/>
      <c r="S1296" s="130"/>
      <c r="T1296"/>
    </row>
    <row r="1297" spans="4:20">
      <c r="D1297" s="30" t="s">
        <v>551</v>
      </c>
      <c r="E1297" s="30" t="s">
        <v>338</v>
      </c>
      <c r="F1297" s="35" t="s">
        <v>339</v>
      </c>
      <c r="I1297" s="30" t="s">
        <v>333</v>
      </c>
      <c r="J1297" s="30">
        <v>1</v>
      </c>
      <c r="K1297" s="30" t="s">
        <v>35</v>
      </c>
      <c r="L1297" s="30" t="s">
        <v>107</v>
      </c>
      <c r="M1297" s="30" t="s">
        <v>325</v>
      </c>
      <c r="P1297" s="130"/>
      <c r="Q1297" s="130"/>
      <c r="R1297" s="130"/>
      <c r="S1297" s="130"/>
      <c r="T1297"/>
    </row>
    <row r="1298" spans="4:20">
      <c r="D1298" s="30" t="s">
        <v>551</v>
      </c>
      <c r="E1298" s="30" t="s">
        <v>322</v>
      </c>
      <c r="G1298" s="35" t="s">
        <v>371</v>
      </c>
      <c r="H1298" s="35" t="s">
        <v>412</v>
      </c>
      <c r="I1298" s="30" t="s">
        <v>48</v>
      </c>
      <c r="J1298" s="30">
        <v>2</v>
      </c>
      <c r="K1298" s="30" t="s">
        <v>35</v>
      </c>
      <c r="L1298" s="30" t="s">
        <v>324</v>
      </c>
      <c r="M1298" s="30" t="s">
        <v>325</v>
      </c>
      <c r="P1298" s="130"/>
      <c r="Q1298" s="130"/>
      <c r="R1298" s="130"/>
      <c r="S1298" s="130"/>
      <c r="T1298"/>
    </row>
    <row r="1299" spans="4:20">
      <c r="D1299" s="30" t="s">
        <v>551</v>
      </c>
      <c r="E1299" s="30" t="s">
        <v>45</v>
      </c>
      <c r="G1299" s="35" t="s">
        <v>364</v>
      </c>
      <c r="H1299" s="35" t="s">
        <v>505</v>
      </c>
      <c r="I1299" s="30" t="s">
        <v>48</v>
      </c>
      <c r="J1299" s="30">
        <v>2</v>
      </c>
      <c r="K1299" s="30" t="s">
        <v>35</v>
      </c>
      <c r="L1299" s="30" t="s">
        <v>358</v>
      </c>
      <c r="M1299" s="30" t="s">
        <v>325</v>
      </c>
      <c r="P1299" s="130"/>
      <c r="Q1299" s="130"/>
      <c r="R1299" s="130"/>
      <c r="S1299" s="130"/>
      <c r="T1299"/>
    </row>
    <row r="1300" spans="4:20" ht="15" customHeight="1">
      <c r="D1300" s="30" t="s">
        <v>551</v>
      </c>
      <c r="E1300" s="30" t="s">
        <v>331</v>
      </c>
      <c r="F1300" s="35" t="s">
        <v>345</v>
      </c>
      <c r="I1300" s="30" t="s">
        <v>333</v>
      </c>
      <c r="J1300" s="30">
        <v>1</v>
      </c>
      <c r="K1300" s="30" t="s">
        <v>35</v>
      </c>
      <c r="L1300" s="30" t="s">
        <v>107</v>
      </c>
      <c r="M1300" s="30" t="s">
        <v>325</v>
      </c>
      <c r="P1300" s="130"/>
      <c r="Q1300" s="130"/>
      <c r="R1300" s="130"/>
      <c r="S1300" s="130"/>
      <c r="T1300"/>
    </row>
    <row r="1301" spans="4:20" ht="15" customHeight="1">
      <c r="D1301" s="30" t="s">
        <v>551</v>
      </c>
      <c r="E1301" s="30" t="s">
        <v>353</v>
      </c>
      <c r="F1301" s="35" t="s">
        <v>354</v>
      </c>
      <c r="I1301" s="30" t="s">
        <v>355</v>
      </c>
      <c r="J1301" s="30" t="s">
        <v>352</v>
      </c>
      <c r="K1301" s="30" t="s">
        <v>35</v>
      </c>
      <c r="L1301" s="30" t="s">
        <v>107</v>
      </c>
      <c r="M1301" s="30" t="s">
        <v>325</v>
      </c>
      <c r="P1301" s="130"/>
      <c r="Q1301" s="130"/>
      <c r="R1301" s="130"/>
      <c r="S1301" s="130"/>
      <c r="T1301"/>
    </row>
    <row r="1302" spans="4:20" ht="15" customHeight="1">
      <c r="D1302" s="30" t="s">
        <v>551</v>
      </c>
      <c r="E1302" s="30" t="s">
        <v>326</v>
      </c>
      <c r="G1302" s="35" t="s">
        <v>427</v>
      </c>
      <c r="H1302" s="35" t="s">
        <v>552</v>
      </c>
      <c r="I1302" s="30" t="s">
        <v>329</v>
      </c>
      <c r="J1302" s="30">
        <v>2</v>
      </c>
      <c r="K1302" s="30" t="s">
        <v>35</v>
      </c>
      <c r="L1302" s="30" t="s">
        <v>330</v>
      </c>
      <c r="M1302" s="30" t="s">
        <v>325</v>
      </c>
      <c r="P1302" s="130"/>
      <c r="Q1302" s="130"/>
      <c r="R1302" s="130"/>
      <c r="S1302" s="130"/>
      <c r="T1302"/>
    </row>
    <row r="1303" spans="4:20" ht="15" customHeight="1">
      <c r="D1303" s="30" t="s">
        <v>551</v>
      </c>
      <c r="E1303" s="30" t="s">
        <v>349</v>
      </c>
      <c r="F1303" s="35" t="s">
        <v>553</v>
      </c>
      <c r="I1303" s="30" t="s">
        <v>351</v>
      </c>
      <c r="J1303" s="30" t="s">
        <v>352</v>
      </c>
      <c r="K1303" s="30" t="s">
        <v>35</v>
      </c>
      <c r="L1303" s="30" t="s">
        <v>324</v>
      </c>
      <c r="M1303" s="30" t="s">
        <v>325</v>
      </c>
      <c r="P1303" s="130"/>
      <c r="Q1303" s="130"/>
      <c r="R1303" s="130"/>
      <c r="S1303" s="130"/>
      <c r="T1303"/>
    </row>
    <row r="1304" spans="4:20" ht="15" customHeight="1">
      <c r="D1304" s="30" t="s">
        <v>658</v>
      </c>
      <c r="E1304" s="30" t="s">
        <v>46</v>
      </c>
      <c r="F1304" s="35" t="s">
        <v>335</v>
      </c>
      <c r="I1304" s="30" t="s">
        <v>333</v>
      </c>
      <c r="J1304" s="30">
        <v>1</v>
      </c>
      <c r="K1304" s="30" t="s">
        <v>35</v>
      </c>
      <c r="L1304" s="30" t="s">
        <v>336</v>
      </c>
      <c r="M1304" s="30" t="s">
        <v>325</v>
      </c>
      <c r="P1304" s="130"/>
      <c r="Q1304" s="130"/>
      <c r="R1304" s="130"/>
      <c r="S1304" s="130"/>
      <c r="T1304"/>
    </row>
    <row r="1305" spans="4:20" ht="15" customHeight="1">
      <c r="D1305" s="30" t="s">
        <v>658</v>
      </c>
      <c r="E1305" s="30" t="s">
        <v>337</v>
      </c>
      <c r="F1305" s="35" t="s">
        <v>387</v>
      </c>
      <c r="I1305" s="30" t="s">
        <v>333</v>
      </c>
      <c r="J1305" s="30">
        <v>1</v>
      </c>
      <c r="K1305" s="30" t="s">
        <v>35</v>
      </c>
      <c r="L1305" s="30" t="s">
        <v>336</v>
      </c>
      <c r="M1305" s="30" t="s">
        <v>325</v>
      </c>
      <c r="P1305" s="130"/>
      <c r="Q1305" s="130"/>
      <c r="R1305" s="130"/>
      <c r="S1305" s="130"/>
      <c r="T1305"/>
    </row>
    <row r="1306" spans="4:20" ht="15" customHeight="1">
      <c r="D1306" s="30" t="s">
        <v>658</v>
      </c>
      <c r="E1306" s="30" t="s">
        <v>334</v>
      </c>
      <c r="H1306" s="35" t="s">
        <v>386</v>
      </c>
      <c r="I1306" s="30" t="s">
        <v>333</v>
      </c>
      <c r="J1306" s="30">
        <v>1</v>
      </c>
      <c r="K1306" s="30" t="s">
        <v>35</v>
      </c>
      <c r="L1306" s="30" t="s">
        <v>336</v>
      </c>
      <c r="M1306" s="30" t="s">
        <v>325</v>
      </c>
      <c r="P1306" s="130"/>
      <c r="Q1306" s="130"/>
      <c r="R1306" s="130"/>
      <c r="S1306" s="130"/>
      <c r="T1306"/>
    </row>
    <row r="1307" spans="4:20" ht="15" customHeight="1">
      <c r="D1307" s="30" t="s">
        <v>658</v>
      </c>
      <c r="E1307" s="30" t="s">
        <v>338</v>
      </c>
      <c r="F1307" s="35" t="s">
        <v>339</v>
      </c>
      <c r="I1307" s="30" t="s">
        <v>333</v>
      </c>
      <c r="J1307" s="30">
        <v>1</v>
      </c>
      <c r="K1307" s="30" t="s">
        <v>35</v>
      </c>
      <c r="L1307" s="30" t="s">
        <v>107</v>
      </c>
      <c r="M1307" s="30" t="s">
        <v>325</v>
      </c>
      <c r="P1307" s="130"/>
      <c r="Q1307" s="130"/>
      <c r="R1307" s="130"/>
      <c r="S1307" s="130"/>
      <c r="T1307"/>
    </row>
    <row r="1308" spans="4:20" ht="15" customHeight="1">
      <c r="D1308" s="30" t="s">
        <v>658</v>
      </c>
      <c r="E1308" s="30" t="s">
        <v>322</v>
      </c>
      <c r="G1308" s="35" t="s">
        <v>363</v>
      </c>
      <c r="H1308" s="35" t="s">
        <v>519</v>
      </c>
      <c r="I1308" s="30" t="s">
        <v>48</v>
      </c>
      <c r="J1308" s="30">
        <v>2</v>
      </c>
      <c r="K1308" s="30" t="s">
        <v>35</v>
      </c>
      <c r="L1308" s="30" t="s">
        <v>324</v>
      </c>
      <c r="M1308" s="30" t="s">
        <v>325</v>
      </c>
      <c r="P1308" s="130"/>
      <c r="Q1308" s="130"/>
      <c r="R1308" s="130"/>
      <c r="S1308" s="130"/>
      <c r="T1308"/>
    </row>
    <row r="1309" spans="4:20" ht="15" customHeight="1">
      <c r="D1309" s="30" t="s">
        <v>658</v>
      </c>
      <c r="E1309" s="30" t="s">
        <v>45</v>
      </c>
      <c r="G1309" s="35" t="s">
        <v>378</v>
      </c>
      <c r="H1309" s="35" t="s">
        <v>659</v>
      </c>
      <c r="I1309" s="30" t="s">
        <v>48</v>
      </c>
      <c r="J1309" s="30">
        <v>2</v>
      </c>
      <c r="K1309" s="30" t="s">
        <v>35</v>
      </c>
      <c r="L1309" s="30" t="s">
        <v>358</v>
      </c>
      <c r="M1309" s="30" t="s">
        <v>325</v>
      </c>
      <c r="P1309" s="130"/>
      <c r="Q1309" s="130"/>
      <c r="R1309" s="130"/>
      <c r="S1309" s="130"/>
      <c r="T1309"/>
    </row>
    <row r="1310" spans="4:20" ht="15" customHeight="1">
      <c r="D1310" s="30" t="s">
        <v>658</v>
      </c>
      <c r="E1310" s="30" t="s">
        <v>331</v>
      </c>
      <c r="F1310" s="35" t="s">
        <v>345</v>
      </c>
      <c r="I1310" s="30" t="s">
        <v>333</v>
      </c>
      <c r="J1310" s="30">
        <v>1</v>
      </c>
      <c r="K1310" s="30" t="s">
        <v>35</v>
      </c>
      <c r="L1310" s="30" t="s">
        <v>107</v>
      </c>
      <c r="M1310" s="30" t="s">
        <v>325</v>
      </c>
      <c r="P1310" s="130"/>
      <c r="Q1310" s="130"/>
      <c r="R1310" s="130"/>
      <c r="S1310" s="130"/>
      <c r="T1310"/>
    </row>
    <row r="1311" spans="4:20" ht="15" customHeight="1">
      <c r="D1311" s="30" t="s">
        <v>658</v>
      </c>
      <c r="E1311" s="30" t="s">
        <v>353</v>
      </c>
      <c r="F1311" s="35" t="s">
        <v>354</v>
      </c>
      <c r="I1311" s="30" t="s">
        <v>355</v>
      </c>
      <c r="J1311" s="30" t="s">
        <v>352</v>
      </c>
      <c r="K1311" s="30" t="s">
        <v>35</v>
      </c>
      <c r="L1311" s="30" t="s">
        <v>107</v>
      </c>
      <c r="M1311" s="30" t="s">
        <v>325</v>
      </c>
      <c r="P1311" s="130"/>
      <c r="Q1311" s="130"/>
      <c r="R1311" s="130"/>
      <c r="S1311" s="130"/>
      <c r="T1311"/>
    </row>
    <row r="1312" spans="4:20" ht="15" customHeight="1">
      <c r="D1312" s="30" t="s">
        <v>658</v>
      </c>
      <c r="E1312" s="30" t="s">
        <v>326</v>
      </c>
      <c r="G1312" s="35" t="s">
        <v>624</v>
      </c>
      <c r="H1312" s="35" t="s">
        <v>348</v>
      </c>
      <c r="I1312" s="30" t="s">
        <v>329</v>
      </c>
      <c r="J1312" s="30">
        <v>2</v>
      </c>
      <c r="K1312" s="30" t="s">
        <v>35</v>
      </c>
      <c r="L1312" s="30" t="s">
        <v>330</v>
      </c>
      <c r="M1312" s="30" t="s">
        <v>325</v>
      </c>
      <c r="P1312" s="130"/>
      <c r="Q1312" s="130"/>
      <c r="R1312" s="130"/>
      <c r="S1312" s="130"/>
      <c r="T1312"/>
    </row>
    <row r="1313" spans="4:20" ht="15" customHeight="1">
      <c r="D1313" s="30" t="s">
        <v>658</v>
      </c>
      <c r="E1313" s="30" t="s">
        <v>349</v>
      </c>
      <c r="F1313" s="35" t="s">
        <v>586</v>
      </c>
      <c r="I1313" s="30" t="s">
        <v>351</v>
      </c>
      <c r="J1313" s="30" t="s">
        <v>352</v>
      </c>
      <c r="K1313" s="30" t="s">
        <v>35</v>
      </c>
      <c r="L1313" s="30" t="s">
        <v>324</v>
      </c>
      <c r="M1313" s="30" t="s">
        <v>325</v>
      </c>
      <c r="P1313" s="130"/>
      <c r="Q1313" s="130"/>
      <c r="R1313" s="130"/>
      <c r="S1313" s="130"/>
      <c r="T1313"/>
    </row>
    <row r="1314" spans="4:20">
      <c r="D1314" s="30" t="s">
        <v>478</v>
      </c>
      <c r="E1314" s="30" t="s">
        <v>46</v>
      </c>
      <c r="F1314" s="35" t="s">
        <v>335</v>
      </c>
      <c r="I1314" s="30" t="s">
        <v>333</v>
      </c>
      <c r="J1314" s="30">
        <v>1</v>
      </c>
      <c r="K1314" s="30" t="s">
        <v>35</v>
      </c>
      <c r="L1314" s="30" t="s">
        <v>336</v>
      </c>
      <c r="M1314" s="30" t="s">
        <v>325</v>
      </c>
      <c r="P1314" s="130"/>
      <c r="Q1314" s="130"/>
      <c r="R1314" s="130"/>
      <c r="S1314" s="130"/>
      <c r="T1314"/>
    </row>
    <row r="1315" spans="4:20">
      <c r="D1315" s="30" t="s">
        <v>478</v>
      </c>
      <c r="E1315" s="30" t="s">
        <v>337</v>
      </c>
      <c r="F1315" s="35" t="s">
        <v>335</v>
      </c>
      <c r="I1315" s="30" t="s">
        <v>333</v>
      </c>
      <c r="J1315" s="30">
        <v>1</v>
      </c>
      <c r="K1315" s="30" t="s">
        <v>35</v>
      </c>
      <c r="L1315" s="30" t="s">
        <v>336</v>
      </c>
      <c r="M1315" s="30" t="s">
        <v>325</v>
      </c>
      <c r="P1315" s="130"/>
      <c r="Q1315" s="130"/>
      <c r="R1315" s="130"/>
      <c r="S1315" s="130"/>
      <c r="T1315"/>
    </row>
    <row r="1316" spans="4:20">
      <c r="D1316" s="30" t="s">
        <v>478</v>
      </c>
      <c r="E1316" s="30" t="s">
        <v>334</v>
      </c>
      <c r="F1316" s="35" t="s">
        <v>335</v>
      </c>
      <c r="I1316" s="30" t="s">
        <v>333</v>
      </c>
      <c r="J1316" s="30">
        <v>1</v>
      </c>
      <c r="K1316" s="30" t="s">
        <v>35</v>
      </c>
      <c r="L1316" s="30" t="s">
        <v>336</v>
      </c>
      <c r="M1316" s="30" t="s">
        <v>325</v>
      </c>
      <c r="T1316"/>
    </row>
    <row r="1317" spans="4:20">
      <c r="D1317" s="30" t="s">
        <v>478</v>
      </c>
      <c r="E1317" s="30" t="s">
        <v>338</v>
      </c>
      <c r="F1317" s="35" t="s">
        <v>339</v>
      </c>
      <c r="I1317" s="30" t="s">
        <v>333</v>
      </c>
      <c r="J1317" s="30">
        <v>1</v>
      </c>
      <c r="K1317" s="30" t="s">
        <v>35</v>
      </c>
      <c r="L1317" s="30" t="s">
        <v>107</v>
      </c>
      <c r="M1317" s="30" t="s">
        <v>325</v>
      </c>
      <c r="T1317"/>
    </row>
    <row r="1318" spans="4:20">
      <c r="D1318" s="30" t="s">
        <v>478</v>
      </c>
      <c r="E1318" s="30" t="s">
        <v>322</v>
      </c>
      <c r="G1318" s="35" t="s">
        <v>479</v>
      </c>
      <c r="H1318" s="35" t="s">
        <v>394</v>
      </c>
      <c r="I1318" s="30" t="s">
        <v>48</v>
      </c>
      <c r="J1318" s="30">
        <v>2</v>
      </c>
      <c r="K1318" s="30" t="s">
        <v>35</v>
      </c>
      <c r="L1318" s="30" t="s">
        <v>324</v>
      </c>
      <c r="M1318" s="30" t="s">
        <v>325</v>
      </c>
      <c r="T1318"/>
    </row>
    <row r="1319" spans="4:20">
      <c r="D1319" s="30" t="s">
        <v>478</v>
      </c>
      <c r="E1319" s="30" t="s">
        <v>45</v>
      </c>
      <c r="G1319" s="35" t="s">
        <v>379</v>
      </c>
      <c r="H1319" s="35" t="s">
        <v>398</v>
      </c>
      <c r="I1319" s="30" t="s">
        <v>48</v>
      </c>
      <c r="J1319" s="30">
        <v>2</v>
      </c>
      <c r="K1319" s="30" t="s">
        <v>35</v>
      </c>
      <c r="L1319" s="30" t="s">
        <v>358</v>
      </c>
      <c r="M1319" s="30" t="s">
        <v>325</v>
      </c>
      <c r="T1319"/>
    </row>
    <row r="1320" spans="4:20">
      <c r="D1320" s="30" t="s">
        <v>478</v>
      </c>
      <c r="E1320" s="30" t="s">
        <v>331</v>
      </c>
      <c r="F1320" s="35" t="s">
        <v>345</v>
      </c>
      <c r="I1320" s="30" t="s">
        <v>333</v>
      </c>
      <c r="J1320" s="30">
        <v>1</v>
      </c>
      <c r="K1320" s="30" t="s">
        <v>35</v>
      </c>
      <c r="L1320" s="30" t="s">
        <v>107</v>
      </c>
      <c r="M1320" s="30" t="s">
        <v>325</v>
      </c>
      <c r="T1320"/>
    </row>
    <row r="1321" spans="4:20">
      <c r="D1321" s="30" t="s">
        <v>478</v>
      </c>
      <c r="E1321" s="30" t="s">
        <v>353</v>
      </c>
      <c r="F1321" s="35" t="s">
        <v>354</v>
      </c>
      <c r="I1321" s="30" t="s">
        <v>355</v>
      </c>
      <c r="J1321" s="30" t="s">
        <v>352</v>
      </c>
      <c r="K1321" s="30" t="s">
        <v>35</v>
      </c>
      <c r="L1321" s="30" t="s">
        <v>107</v>
      </c>
      <c r="M1321" s="30" t="s">
        <v>325</v>
      </c>
      <c r="T1321"/>
    </row>
    <row r="1322" spans="4:20">
      <c r="D1322" s="30" t="s">
        <v>478</v>
      </c>
      <c r="E1322" s="30" t="s">
        <v>326</v>
      </c>
      <c r="G1322" s="35" t="s">
        <v>480</v>
      </c>
      <c r="H1322" s="35" t="s">
        <v>405</v>
      </c>
      <c r="I1322" s="30" t="s">
        <v>329</v>
      </c>
      <c r="J1322" s="30">
        <v>2</v>
      </c>
      <c r="K1322" s="30" t="s">
        <v>35</v>
      </c>
      <c r="L1322" s="30" t="s">
        <v>330</v>
      </c>
      <c r="M1322" s="30" t="s">
        <v>325</v>
      </c>
      <c r="T1322"/>
    </row>
    <row r="1323" spans="4:20">
      <c r="D1323" s="30" t="s">
        <v>478</v>
      </c>
      <c r="E1323" s="30" t="s">
        <v>349</v>
      </c>
      <c r="F1323" s="35" t="s">
        <v>481</v>
      </c>
      <c r="I1323" s="30" t="s">
        <v>351</v>
      </c>
      <c r="J1323" s="30" t="s">
        <v>352</v>
      </c>
      <c r="K1323" s="30" t="s">
        <v>35</v>
      </c>
      <c r="L1323" s="30" t="s">
        <v>324</v>
      </c>
      <c r="M1323" s="30" t="s">
        <v>325</v>
      </c>
      <c r="T1323"/>
    </row>
    <row r="1324" spans="4:20">
      <c r="D1324" s="99" t="s">
        <v>810</v>
      </c>
      <c r="E1324" s="99" t="s">
        <v>46</v>
      </c>
      <c r="F1324" s="100" t="s">
        <v>335</v>
      </c>
      <c r="G1324" s="100"/>
      <c r="H1324" s="100"/>
      <c r="I1324" s="99" t="s">
        <v>333</v>
      </c>
      <c r="J1324" s="99">
        <v>1</v>
      </c>
      <c r="K1324" s="99" t="s">
        <v>35</v>
      </c>
      <c r="L1324" s="99" t="s">
        <v>336</v>
      </c>
      <c r="M1324" s="99" t="s">
        <v>325</v>
      </c>
      <c r="T1324"/>
    </row>
    <row r="1325" spans="4:20">
      <c r="D1325" s="99" t="s">
        <v>810</v>
      </c>
      <c r="E1325" s="99" t="s">
        <v>337</v>
      </c>
      <c r="F1325" s="100" t="s">
        <v>335</v>
      </c>
      <c r="G1325" s="100"/>
      <c r="H1325" s="100"/>
      <c r="I1325" s="99" t="s">
        <v>333</v>
      </c>
      <c r="J1325" s="99">
        <v>1</v>
      </c>
      <c r="K1325" s="99" t="s">
        <v>35</v>
      </c>
      <c r="L1325" s="99" t="s">
        <v>336</v>
      </c>
      <c r="M1325" s="99" t="s">
        <v>325</v>
      </c>
      <c r="T1325"/>
    </row>
    <row r="1326" spans="4:20" ht="15" customHeight="1">
      <c r="D1326" s="99" t="s">
        <v>810</v>
      </c>
      <c r="E1326" s="99" t="s">
        <v>334</v>
      </c>
      <c r="F1326" s="100"/>
      <c r="G1326" s="100"/>
      <c r="H1326" s="100" t="s">
        <v>386</v>
      </c>
      <c r="I1326" s="99" t="s">
        <v>333</v>
      </c>
      <c r="J1326" s="99">
        <v>1</v>
      </c>
      <c r="K1326" s="99" t="s">
        <v>35</v>
      </c>
      <c r="L1326" s="99" t="s">
        <v>336</v>
      </c>
      <c r="M1326" s="99" t="s">
        <v>325</v>
      </c>
      <c r="T1326"/>
    </row>
    <row r="1327" spans="4:20" ht="15" customHeight="1">
      <c r="D1327" s="99" t="s">
        <v>810</v>
      </c>
      <c r="E1327" s="99" t="s">
        <v>338</v>
      </c>
      <c r="F1327" s="100" t="s">
        <v>339</v>
      </c>
      <c r="G1327" s="100"/>
      <c r="H1327" s="100"/>
      <c r="I1327" s="99" t="s">
        <v>333</v>
      </c>
      <c r="J1327" s="99">
        <v>1</v>
      </c>
      <c r="K1327" s="99" t="s">
        <v>35</v>
      </c>
      <c r="L1327" s="99" t="s">
        <v>107</v>
      </c>
      <c r="M1327" s="99" t="s">
        <v>325</v>
      </c>
      <c r="T1327"/>
    </row>
    <row r="1328" spans="4:20" ht="15" customHeight="1">
      <c r="D1328" s="99" t="s">
        <v>810</v>
      </c>
      <c r="E1328" s="99" t="s">
        <v>322</v>
      </c>
      <c r="F1328" s="100"/>
      <c r="G1328" s="100" t="s">
        <v>452</v>
      </c>
      <c r="H1328" s="100" t="s">
        <v>390</v>
      </c>
      <c r="I1328" s="99" t="s">
        <v>48</v>
      </c>
      <c r="J1328" s="99">
        <v>2</v>
      </c>
      <c r="K1328" s="99" t="s">
        <v>35</v>
      </c>
      <c r="L1328" s="99" t="s">
        <v>324</v>
      </c>
      <c r="M1328" s="99" t="s">
        <v>325</v>
      </c>
      <c r="T1328"/>
    </row>
    <row r="1329" spans="4:20" ht="15" customHeight="1">
      <c r="D1329" s="99" t="s">
        <v>810</v>
      </c>
      <c r="E1329" s="99" t="s">
        <v>45</v>
      </c>
      <c r="F1329" s="100" t="s">
        <v>598</v>
      </c>
      <c r="G1329" s="100"/>
      <c r="H1329" s="100"/>
      <c r="I1329" s="99" t="s">
        <v>48</v>
      </c>
      <c r="J1329" s="99">
        <v>2</v>
      </c>
      <c r="K1329" s="99" t="s">
        <v>35</v>
      </c>
      <c r="L1329" s="99" t="s">
        <v>422</v>
      </c>
      <c r="M1329" s="99" t="s">
        <v>325</v>
      </c>
      <c r="T1329"/>
    </row>
    <row r="1330" spans="4:20" ht="15" customHeight="1">
      <c r="D1330" s="99" t="s">
        <v>810</v>
      </c>
      <c r="E1330" s="99" t="s">
        <v>347</v>
      </c>
      <c r="F1330" s="100"/>
      <c r="G1330" s="100" t="s">
        <v>434</v>
      </c>
      <c r="H1330" s="100"/>
      <c r="I1330" s="99" t="s">
        <v>329</v>
      </c>
      <c r="J1330" s="99">
        <v>2</v>
      </c>
      <c r="K1330" s="99" t="s">
        <v>35</v>
      </c>
      <c r="L1330" s="99" t="s">
        <v>330</v>
      </c>
      <c r="M1330" s="99" t="s">
        <v>325</v>
      </c>
      <c r="T1330"/>
    </row>
    <row r="1331" spans="4:20" ht="15" customHeight="1">
      <c r="D1331" s="99" t="s">
        <v>810</v>
      </c>
      <c r="E1331" s="99" t="s">
        <v>331</v>
      </c>
      <c r="F1331" s="100" t="s">
        <v>345</v>
      </c>
      <c r="G1331" s="100"/>
      <c r="H1331" s="100"/>
      <c r="I1331" s="99" t="s">
        <v>333</v>
      </c>
      <c r="J1331" s="99">
        <v>1</v>
      </c>
      <c r="K1331" s="99" t="s">
        <v>35</v>
      </c>
      <c r="L1331" s="99" t="s">
        <v>107</v>
      </c>
      <c r="M1331" s="99" t="s">
        <v>325</v>
      </c>
      <c r="T1331"/>
    </row>
    <row r="1332" spans="4:20" ht="15" customHeight="1">
      <c r="D1332" s="99" t="s">
        <v>810</v>
      </c>
      <c r="E1332" s="99" t="s">
        <v>353</v>
      </c>
      <c r="F1332" s="100" t="s">
        <v>354</v>
      </c>
      <c r="G1332" s="100"/>
      <c r="H1332" s="100"/>
      <c r="I1332" s="99" t="s">
        <v>355</v>
      </c>
      <c r="J1332" s="99" t="s">
        <v>352</v>
      </c>
      <c r="K1332" s="99" t="s">
        <v>35</v>
      </c>
      <c r="L1332" s="99" t="s">
        <v>107</v>
      </c>
      <c r="M1332" s="99" t="s">
        <v>325</v>
      </c>
      <c r="T1332"/>
    </row>
    <row r="1333" spans="4:20" ht="15" customHeight="1">
      <c r="D1333" s="99" t="s">
        <v>810</v>
      </c>
      <c r="E1333" s="99" t="s">
        <v>326</v>
      </c>
      <c r="F1333" s="100"/>
      <c r="G1333" s="100" t="s">
        <v>811</v>
      </c>
      <c r="H1333" s="100" t="s">
        <v>367</v>
      </c>
      <c r="I1333" s="99" t="s">
        <v>329</v>
      </c>
      <c r="J1333" s="99">
        <v>2</v>
      </c>
      <c r="K1333" s="99" t="s">
        <v>35</v>
      </c>
      <c r="L1333" s="99" t="s">
        <v>330</v>
      </c>
      <c r="M1333" s="99" t="s">
        <v>325</v>
      </c>
      <c r="T1333"/>
    </row>
    <row r="1334" spans="4:20" ht="15" customHeight="1">
      <c r="D1334" s="99" t="s">
        <v>810</v>
      </c>
      <c r="E1334" s="99" t="s">
        <v>349</v>
      </c>
      <c r="F1334" s="100" t="s">
        <v>453</v>
      </c>
      <c r="G1334" s="100"/>
      <c r="H1334" s="100"/>
      <c r="I1334" s="99" t="s">
        <v>351</v>
      </c>
      <c r="J1334" s="99" t="s">
        <v>352</v>
      </c>
      <c r="K1334" s="99" t="s">
        <v>35</v>
      </c>
      <c r="L1334" s="99" t="s">
        <v>324</v>
      </c>
      <c r="M1334" s="99" t="s">
        <v>325</v>
      </c>
      <c r="T1334"/>
    </row>
    <row r="1335" spans="4:20" ht="15" customHeight="1">
      <c r="D1335" s="30" t="s">
        <v>597</v>
      </c>
      <c r="E1335" s="30" t="s">
        <v>46</v>
      </c>
      <c r="F1335" s="35" t="s">
        <v>335</v>
      </c>
      <c r="I1335" s="30" t="s">
        <v>333</v>
      </c>
      <c r="J1335" s="30">
        <v>1</v>
      </c>
      <c r="K1335" s="30" t="s">
        <v>35</v>
      </c>
      <c r="L1335" s="30" t="s">
        <v>336</v>
      </c>
      <c r="M1335" s="30" t="s">
        <v>325</v>
      </c>
      <c r="T1335"/>
    </row>
    <row r="1336" spans="4:20" ht="15" customHeight="1">
      <c r="D1336" s="30" t="s">
        <v>597</v>
      </c>
      <c r="E1336" s="30" t="s">
        <v>337</v>
      </c>
      <c r="F1336" s="35" t="s">
        <v>335</v>
      </c>
      <c r="I1336" s="30" t="s">
        <v>333</v>
      </c>
      <c r="J1336" s="30">
        <v>1</v>
      </c>
      <c r="K1336" s="30" t="s">
        <v>35</v>
      </c>
      <c r="L1336" s="30" t="s">
        <v>336</v>
      </c>
      <c r="M1336" s="30" t="s">
        <v>325</v>
      </c>
      <c r="T1336"/>
    </row>
    <row r="1337" spans="4:20" ht="15" customHeight="1">
      <c r="D1337" s="30" t="s">
        <v>597</v>
      </c>
      <c r="E1337" s="30" t="s">
        <v>334</v>
      </c>
      <c r="F1337" s="35" t="s">
        <v>335</v>
      </c>
      <c r="I1337" s="30" t="s">
        <v>333</v>
      </c>
      <c r="J1337" s="30">
        <v>1</v>
      </c>
      <c r="K1337" s="30" t="s">
        <v>35</v>
      </c>
      <c r="L1337" s="30" t="s">
        <v>336</v>
      </c>
      <c r="M1337" s="30" t="s">
        <v>325</v>
      </c>
      <c r="T1337"/>
    </row>
    <row r="1338" spans="4:20" ht="15" customHeight="1">
      <c r="D1338" s="30" t="s">
        <v>597</v>
      </c>
      <c r="E1338" s="30" t="s">
        <v>338</v>
      </c>
      <c r="F1338" s="35" t="s">
        <v>339</v>
      </c>
      <c r="I1338" s="30" t="s">
        <v>333</v>
      </c>
      <c r="J1338" s="30">
        <v>1</v>
      </c>
      <c r="K1338" s="30" t="s">
        <v>35</v>
      </c>
      <c r="L1338" s="30" t="s">
        <v>107</v>
      </c>
      <c r="M1338" s="30" t="s">
        <v>325</v>
      </c>
      <c r="T1338"/>
    </row>
    <row r="1339" spans="4:20" ht="15" customHeight="1">
      <c r="D1339" s="30" t="s">
        <v>597</v>
      </c>
      <c r="E1339" s="30" t="s">
        <v>322</v>
      </c>
      <c r="G1339" s="35" t="s">
        <v>449</v>
      </c>
      <c r="H1339" s="35" t="s">
        <v>377</v>
      </c>
      <c r="I1339" s="30" t="s">
        <v>48</v>
      </c>
      <c r="J1339" s="30">
        <v>2</v>
      </c>
      <c r="K1339" s="30" t="s">
        <v>35</v>
      </c>
      <c r="L1339" s="30" t="s">
        <v>324</v>
      </c>
      <c r="M1339" s="30" t="s">
        <v>325</v>
      </c>
      <c r="T1339"/>
    </row>
    <row r="1340" spans="4:20" ht="15" customHeight="1">
      <c r="D1340" s="30" t="s">
        <v>597</v>
      </c>
      <c r="E1340" s="30" t="s">
        <v>45</v>
      </c>
      <c r="F1340" s="35" t="s">
        <v>598</v>
      </c>
      <c r="I1340" s="30" t="s">
        <v>48</v>
      </c>
      <c r="J1340" s="30">
        <v>2</v>
      </c>
      <c r="K1340" s="30" t="s">
        <v>35</v>
      </c>
      <c r="L1340" s="30" t="s">
        <v>420</v>
      </c>
      <c r="M1340" s="30" t="s">
        <v>325</v>
      </c>
      <c r="T1340"/>
    </row>
    <row r="1341" spans="4:20" ht="15" customHeight="1">
      <c r="D1341" s="30" t="s">
        <v>597</v>
      </c>
      <c r="E1341" s="30" t="s">
        <v>347</v>
      </c>
      <c r="G1341" s="35" t="s">
        <v>401</v>
      </c>
      <c r="I1341" s="30" t="s">
        <v>329</v>
      </c>
      <c r="J1341" s="30">
        <v>2</v>
      </c>
      <c r="K1341" s="30" t="s">
        <v>35</v>
      </c>
      <c r="L1341" s="30" t="s">
        <v>330</v>
      </c>
      <c r="M1341" s="30" t="s">
        <v>325</v>
      </c>
      <c r="T1341"/>
    </row>
    <row r="1342" spans="4:20" ht="15" customHeight="1">
      <c r="D1342" s="30" t="s">
        <v>597</v>
      </c>
      <c r="E1342" s="30" t="s">
        <v>331</v>
      </c>
      <c r="F1342" s="35" t="s">
        <v>345</v>
      </c>
      <c r="I1342" s="30" t="s">
        <v>333</v>
      </c>
      <c r="J1342" s="30">
        <v>1</v>
      </c>
      <c r="K1342" s="30" t="s">
        <v>35</v>
      </c>
      <c r="L1342" s="30" t="s">
        <v>107</v>
      </c>
      <c r="M1342" s="30" t="s">
        <v>325</v>
      </c>
      <c r="T1342"/>
    </row>
    <row r="1343" spans="4:20" ht="15" customHeight="1">
      <c r="D1343" s="30" t="s">
        <v>597</v>
      </c>
      <c r="E1343" s="30" t="s">
        <v>353</v>
      </c>
      <c r="F1343" s="35" t="s">
        <v>354</v>
      </c>
      <c r="I1343" s="30" t="s">
        <v>355</v>
      </c>
      <c r="J1343" s="30" t="s">
        <v>352</v>
      </c>
      <c r="K1343" s="30" t="s">
        <v>35</v>
      </c>
      <c r="L1343" s="30" t="s">
        <v>107</v>
      </c>
      <c r="M1343" s="30" t="s">
        <v>325</v>
      </c>
      <c r="T1343"/>
    </row>
    <row r="1344" spans="4:20" ht="15" customHeight="1">
      <c r="D1344" s="30" t="s">
        <v>597</v>
      </c>
      <c r="E1344" s="30" t="s">
        <v>326</v>
      </c>
      <c r="G1344" s="35" t="s">
        <v>348</v>
      </c>
      <c r="H1344" s="35" t="s">
        <v>380</v>
      </c>
      <c r="I1344" s="30" t="s">
        <v>329</v>
      </c>
      <c r="J1344" s="30">
        <v>2</v>
      </c>
      <c r="K1344" s="30" t="s">
        <v>35</v>
      </c>
      <c r="L1344" s="30" t="s">
        <v>578</v>
      </c>
      <c r="M1344" s="30" t="s">
        <v>325</v>
      </c>
      <c r="T1344"/>
    </row>
    <row r="1345" spans="4:20" ht="15" customHeight="1">
      <c r="D1345" s="30" t="s">
        <v>597</v>
      </c>
      <c r="E1345" s="30" t="s">
        <v>349</v>
      </c>
      <c r="F1345" s="35" t="s">
        <v>450</v>
      </c>
      <c r="I1345" s="30" t="s">
        <v>351</v>
      </c>
      <c r="J1345" s="30" t="s">
        <v>352</v>
      </c>
      <c r="K1345" s="30" t="s">
        <v>35</v>
      </c>
      <c r="L1345" s="30" t="s">
        <v>324</v>
      </c>
      <c r="M1345" s="30" t="s">
        <v>325</v>
      </c>
      <c r="T1345"/>
    </row>
    <row r="1346" spans="4:20" ht="15" customHeight="1">
      <c r="D1346" s="30" t="s">
        <v>482</v>
      </c>
      <c r="E1346" s="30" t="s">
        <v>46</v>
      </c>
      <c r="F1346" s="35" t="s">
        <v>335</v>
      </c>
      <c r="I1346" s="30" t="s">
        <v>333</v>
      </c>
      <c r="J1346" s="30">
        <v>1</v>
      </c>
      <c r="K1346" s="30" t="s">
        <v>35</v>
      </c>
      <c r="L1346" s="30" t="s">
        <v>336</v>
      </c>
      <c r="M1346" s="30" t="s">
        <v>325</v>
      </c>
      <c r="T1346"/>
    </row>
    <row r="1347" spans="4:20">
      <c r="D1347" s="30" t="s">
        <v>482</v>
      </c>
      <c r="E1347" s="30" t="s">
        <v>337</v>
      </c>
      <c r="H1347" s="35" t="s">
        <v>485</v>
      </c>
      <c r="I1347" s="30" t="s">
        <v>333</v>
      </c>
      <c r="J1347" s="30">
        <v>1</v>
      </c>
      <c r="K1347" s="30" t="s">
        <v>35</v>
      </c>
      <c r="L1347" s="30" t="s">
        <v>336</v>
      </c>
      <c r="M1347" s="30" t="s">
        <v>325</v>
      </c>
      <c r="T1347"/>
    </row>
    <row r="1348" spans="4:20">
      <c r="D1348" s="30" t="s">
        <v>482</v>
      </c>
      <c r="E1348" s="30" t="s">
        <v>334</v>
      </c>
      <c r="H1348" s="35" t="s">
        <v>484</v>
      </c>
      <c r="I1348" s="30" t="s">
        <v>333</v>
      </c>
      <c r="J1348" s="30">
        <v>1</v>
      </c>
      <c r="K1348" s="30" t="s">
        <v>35</v>
      </c>
      <c r="L1348" s="30" t="s">
        <v>336</v>
      </c>
      <c r="M1348" s="30" t="s">
        <v>325</v>
      </c>
      <c r="T1348"/>
    </row>
    <row r="1349" spans="4:20">
      <c r="D1349" s="30" t="s">
        <v>482</v>
      </c>
      <c r="E1349" s="30" t="s">
        <v>338</v>
      </c>
      <c r="F1349" s="35" t="s">
        <v>339</v>
      </c>
      <c r="I1349" s="30" t="s">
        <v>333</v>
      </c>
      <c r="J1349" s="30">
        <v>1</v>
      </c>
      <c r="K1349" s="30" t="s">
        <v>35</v>
      </c>
      <c r="L1349" s="30" t="s">
        <v>107</v>
      </c>
      <c r="M1349" s="30" t="s">
        <v>325</v>
      </c>
      <c r="T1349"/>
    </row>
    <row r="1350" spans="4:20">
      <c r="D1350" s="30" t="s">
        <v>482</v>
      </c>
      <c r="E1350" s="30" t="s">
        <v>322</v>
      </c>
      <c r="G1350" s="35" t="s">
        <v>390</v>
      </c>
      <c r="H1350" s="35" t="s">
        <v>341</v>
      </c>
      <c r="I1350" s="30" t="s">
        <v>48</v>
      </c>
      <c r="J1350" s="30">
        <v>2</v>
      </c>
      <c r="K1350" s="30" t="s">
        <v>35</v>
      </c>
      <c r="L1350" s="30" t="s">
        <v>324</v>
      </c>
      <c r="M1350" s="30" t="s">
        <v>325</v>
      </c>
      <c r="T1350"/>
    </row>
    <row r="1351" spans="4:20">
      <c r="D1351" s="30" t="s">
        <v>482</v>
      </c>
      <c r="E1351" s="30" t="s">
        <v>45</v>
      </c>
      <c r="F1351" s="35" t="s">
        <v>487</v>
      </c>
      <c r="I1351" s="30" t="s">
        <v>48</v>
      </c>
      <c r="J1351" s="30">
        <v>2</v>
      </c>
      <c r="K1351" s="30" t="s">
        <v>35</v>
      </c>
      <c r="L1351" s="30" t="s">
        <v>358</v>
      </c>
      <c r="M1351" s="30" t="s">
        <v>325</v>
      </c>
      <c r="T1351"/>
    </row>
    <row r="1352" spans="4:20" ht="15" customHeight="1">
      <c r="D1352" s="30" t="s">
        <v>482</v>
      </c>
      <c r="E1352" s="30" t="s">
        <v>331</v>
      </c>
      <c r="F1352" s="35" t="s">
        <v>345</v>
      </c>
      <c r="I1352" s="30" t="s">
        <v>333</v>
      </c>
      <c r="J1352" s="30">
        <v>1</v>
      </c>
      <c r="K1352" s="30" t="s">
        <v>35</v>
      </c>
      <c r="L1352" s="30" t="s">
        <v>107</v>
      </c>
      <c r="M1352" s="30" t="s">
        <v>325</v>
      </c>
      <c r="T1352"/>
    </row>
    <row r="1353" spans="4:20" ht="15" customHeight="1">
      <c r="D1353" s="30" t="s">
        <v>482</v>
      </c>
      <c r="E1353" s="30" t="s">
        <v>353</v>
      </c>
      <c r="F1353" s="35" t="s">
        <v>354</v>
      </c>
      <c r="I1353" s="30" t="s">
        <v>355</v>
      </c>
      <c r="J1353" s="30" t="s">
        <v>352</v>
      </c>
      <c r="K1353" s="30" t="s">
        <v>35</v>
      </c>
      <c r="L1353" s="30" t="s">
        <v>107</v>
      </c>
      <c r="M1353" s="30" t="s">
        <v>325</v>
      </c>
      <c r="T1353"/>
    </row>
    <row r="1354" spans="4:20" ht="15" customHeight="1">
      <c r="D1354" s="30" t="s">
        <v>482</v>
      </c>
      <c r="E1354" s="30" t="s">
        <v>326</v>
      </c>
      <c r="G1354" s="35" t="s">
        <v>483</v>
      </c>
      <c r="I1354" s="30" t="s">
        <v>329</v>
      </c>
      <c r="J1354" s="30">
        <v>2</v>
      </c>
      <c r="K1354" s="30" t="s">
        <v>35</v>
      </c>
      <c r="L1354" s="30" t="s">
        <v>330</v>
      </c>
      <c r="M1354" s="30" t="s">
        <v>325</v>
      </c>
      <c r="T1354"/>
    </row>
    <row r="1355" spans="4:20" ht="15" customHeight="1">
      <c r="D1355" s="30" t="s">
        <v>482</v>
      </c>
      <c r="E1355" s="30" t="s">
        <v>349</v>
      </c>
      <c r="F1355" s="35" t="s">
        <v>486</v>
      </c>
      <c r="I1355" s="30" t="s">
        <v>351</v>
      </c>
      <c r="J1355" s="30" t="s">
        <v>352</v>
      </c>
      <c r="K1355" s="30" t="s">
        <v>35</v>
      </c>
      <c r="L1355" s="30" t="s">
        <v>324</v>
      </c>
      <c r="M1355" s="30" t="s">
        <v>325</v>
      </c>
      <c r="T1355"/>
    </row>
    <row r="1356" spans="4:20" ht="15" customHeight="1">
      <c r="D1356" s="30" t="s">
        <v>488</v>
      </c>
      <c r="E1356" s="30" t="s">
        <v>46</v>
      </c>
      <c r="F1356" s="35" t="s">
        <v>335</v>
      </c>
      <c r="I1356" s="30" t="s">
        <v>333</v>
      </c>
      <c r="J1356" s="30">
        <v>1</v>
      </c>
      <c r="K1356" s="30" t="s">
        <v>35</v>
      </c>
      <c r="L1356" s="30" t="s">
        <v>336</v>
      </c>
      <c r="M1356" s="30" t="s">
        <v>325</v>
      </c>
      <c r="T1356"/>
    </row>
    <row r="1357" spans="4:20" ht="15" customHeight="1">
      <c r="D1357" s="30" t="s">
        <v>488</v>
      </c>
      <c r="E1357" s="30" t="s">
        <v>337</v>
      </c>
      <c r="F1357" s="35" t="s">
        <v>387</v>
      </c>
      <c r="I1357" s="30" t="s">
        <v>333</v>
      </c>
      <c r="J1357" s="30">
        <v>1</v>
      </c>
      <c r="K1357" s="30" t="s">
        <v>35</v>
      </c>
      <c r="L1357" s="30" t="s">
        <v>336</v>
      </c>
      <c r="M1357" s="30" t="s">
        <v>325</v>
      </c>
      <c r="T1357"/>
    </row>
    <row r="1358" spans="4:20" ht="15" customHeight="1">
      <c r="D1358" s="30" t="s">
        <v>488</v>
      </c>
      <c r="E1358" s="30" t="s">
        <v>334</v>
      </c>
      <c r="H1358" s="35" t="s">
        <v>386</v>
      </c>
      <c r="I1358" s="30" t="s">
        <v>333</v>
      </c>
      <c r="J1358" s="30">
        <v>1</v>
      </c>
      <c r="K1358" s="30" t="s">
        <v>35</v>
      </c>
      <c r="L1358" s="30" t="s">
        <v>336</v>
      </c>
      <c r="M1358" s="30" t="s">
        <v>325</v>
      </c>
      <c r="T1358"/>
    </row>
    <row r="1359" spans="4:20" ht="15" customHeight="1">
      <c r="D1359" s="30" t="s">
        <v>488</v>
      </c>
      <c r="E1359" s="30" t="s">
        <v>338</v>
      </c>
      <c r="F1359" s="35" t="s">
        <v>339</v>
      </c>
      <c r="I1359" s="30" t="s">
        <v>333</v>
      </c>
      <c r="J1359" s="30">
        <v>1</v>
      </c>
      <c r="K1359" s="30" t="s">
        <v>35</v>
      </c>
      <c r="L1359" s="30" t="s">
        <v>107</v>
      </c>
      <c r="M1359" s="30" t="s">
        <v>325</v>
      </c>
      <c r="T1359"/>
    </row>
    <row r="1360" spans="4:20" ht="15" customHeight="1">
      <c r="D1360" s="30" t="s">
        <v>488</v>
      </c>
      <c r="E1360" s="30" t="s">
        <v>322</v>
      </c>
      <c r="G1360" s="35" t="s">
        <v>425</v>
      </c>
      <c r="H1360" s="35" t="s">
        <v>479</v>
      </c>
      <c r="I1360" s="30" t="s">
        <v>48</v>
      </c>
      <c r="J1360" s="30">
        <v>2</v>
      </c>
      <c r="K1360" s="30" t="s">
        <v>35</v>
      </c>
      <c r="L1360" s="30" t="s">
        <v>324</v>
      </c>
      <c r="M1360" s="30" t="s">
        <v>325</v>
      </c>
      <c r="T1360"/>
    </row>
    <row r="1361" spans="1:58" ht="0.75" customHeight="1">
      <c r="D1361" s="30" t="s">
        <v>488</v>
      </c>
      <c r="E1361" s="30" t="s">
        <v>45</v>
      </c>
      <c r="G1361" s="35" t="s">
        <v>430</v>
      </c>
      <c r="H1361" s="35" t="s">
        <v>357</v>
      </c>
      <c r="I1361" s="30" t="s">
        <v>48</v>
      </c>
      <c r="J1361" s="30">
        <v>2</v>
      </c>
      <c r="K1361" s="30" t="s">
        <v>35</v>
      </c>
      <c r="L1361" s="30" t="s">
        <v>358</v>
      </c>
      <c r="M1361" s="30" t="s">
        <v>325</v>
      </c>
      <c r="T1361"/>
    </row>
    <row r="1362" spans="1:58">
      <c r="D1362" s="30" t="s">
        <v>488</v>
      </c>
      <c r="E1362" s="30" t="s">
        <v>331</v>
      </c>
      <c r="F1362" s="35" t="s">
        <v>345</v>
      </c>
      <c r="I1362" s="30" t="s">
        <v>333</v>
      </c>
      <c r="J1362" s="30">
        <v>1</v>
      </c>
      <c r="K1362" s="30" t="s">
        <v>35</v>
      </c>
      <c r="L1362" s="30" t="s">
        <v>107</v>
      </c>
      <c r="M1362" s="30" t="s">
        <v>325</v>
      </c>
      <c r="T1362"/>
    </row>
    <row r="1363" spans="1:58">
      <c r="D1363" s="30" t="s">
        <v>488</v>
      </c>
      <c r="E1363" s="30" t="s">
        <v>353</v>
      </c>
      <c r="F1363" s="35" t="s">
        <v>354</v>
      </c>
      <c r="I1363" s="30" t="s">
        <v>355</v>
      </c>
      <c r="J1363" s="30" t="s">
        <v>352</v>
      </c>
      <c r="K1363" s="30" t="s">
        <v>35</v>
      </c>
      <c r="L1363" s="30" t="s">
        <v>107</v>
      </c>
      <c r="M1363" s="30" t="s">
        <v>325</v>
      </c>
      <c r="T1363"/>
    </row>
    <row r="1364" spans="1:58">
      <c r="D1364" s="30" t="s">
        <v>488</v>
      </c>
      <c r="E1364" s="30" t="s">
        <v>326</v>
      </c>
      <c r="G1364" s="35" t="s">
        <v>489</v>
      </c>
      <c r="H1364" s="35" t="s">
        <v>490</v>
      </c>
      <c r="I1364" s="30" t="s">
        <v>329</v>
      </c>
      <c r="J1364" s="30">
        <v>2</v>
      </c>
      <c r="K1364" s="30" t="s">
        <v>35</v>
      </c>
      <c r="L1364" s="30" t="s">
        <v>459</v>
      </c>
      <c r="M1364" s="30" t="s">
        <v>325</v>
      </c>
      <c r="T1364"/>
    </row>
    <row r="1365" spans="1:58">
      <c r="D1365" s="30" t="s">
        <v>488</v>
      </c>
      <c r="E1365" s="30" t="s">
        <v>349</v>
      </c>
      <c r="F1365" s="35" t="s">
        <v>491</v>
      </c>
      <c r="I1365" s="30" t="s">
        <v>351</v>
      </c>
      <c r="J1365" s="30" t="s">
        <v>352</v>
      </c>
      <c r="K1365" s="30" t="s">
        <v>35</v>
      </c>
      <c r="L1365" s="30" t="s">
        <v>324</v>
      </c>
      <c r="M1365" s="30" t="s">
        <v>325</v>
      </c>
      <c r="T1365"/>
    </row>
    <row r="1366" spans="1:58" ht="15" customHeight="1">
      <c r="D1366" s="30" t="s">
        <v>672</v>
      </c>
      <c r="E1366" s="30" t="s">
        <v>682</v>
      </c>
      <c r="F1366" s="35" t="s">
        <v>683</v>
      </c>
      <c r="I1366" s="30" t="s">
        <v>329</v>
      </c>
      <c r="J1366" s="30">
        <v>2</v>
      </c>
      <c r="K1366" s="30" t="s">
        <v>35</v>
      </c>
      <c r="L1366" s="30" t="s">
        <v>107</v>
      </c>
      <c r="M1366" s="30" t="s">
        <v>325</v>
      </c>
      <c r="T1366"/>
    </row>
    <row r="1367" spans="1:58" ht="15" customHeight="1">
      <c r="D1367" s="30" t="s">
        <v>672</v>
      </c>
      <c r="E1367" s="30" t="s">
        <v>46</v>
      </c>
      <c r="F1367" s="35" t="s">
        <v>335</v>
      </c>
      <c r="I1367" s="30" t="s">
        <v>333</v>
      </c>
      <c r="J1367" s="30">
        <v>1</v>
      </c>
      <c r="K1367" s="30" t="s">
        <v>35</v>
      </c>
      <c r="L1367" s="30" t="s">
        <v>336</v>
      </c>
      <c r="M1367" s="30" t="s">
        <v>325</v>
      </c>
      <c r="T1367"/>
    </row>
    <row r="1368" spans="1:58" ht="15" customHeight="1">
      <c r="D1368" s="30" t="s">
        <v>672</v>
      </c>
      <c r="E1368" s="30" t="s">
        <v>337</v>
      </c>
      <c r="F1368" s="35" t="s">
        <v>677</v>
      </c>
      <c r="I1368" s="30" t="s">
        <v>333</v>
      </c>
      <c r="J1368" s="30">
        <v>1</v>
      </c>
      <c r="K1368" s="30" t="s">
        <v>35</v>
      </c>
      <c r="L1368" s="30" t="s">
        <v>336</v>
      </c>
      <c r="M1368" s="30" t="s">
        <v>325</v>
      </c>
      <c r="T1368"/>
    </row>
    <row r="1369" spans="1:58" ht="15" customHeight="1">
      <c r="D1369" s="30" t="s">
        <v>672</v>
      </c>
      <c r="E1369" s="30" t="s">
        <v>334</v>
      </c>
      <c r="H1369" s="35" t="s">
        <v>386</v>
      </c>
      <c r="I1369" s="30" t="s">
        <v>333</v>
      </c>
      <c r="J1369" s="30">
        <v>1</v>
      </c>
      <c r="K1369" s="30" t="s">
        <v>35</v>
      </c>
      <c r="L1369" s="30" t="s">
        <v>336</v>
      </c>
      <c r="M1369" s="30" t="s">
        <v>325</v>
      </c>
      <c r="T1369"/>
    </row>
    <row r="1370" spans="1:58" ht="15" customHeight="1">
      <c r="D1370" s="30" t="s">
        <v>672</v>
      </c>
      <c r="E1370" s="30" t="s">
        <v>338</v>
      </c>
      <c r="F1370" s="35" t="s">
        <v>339</v>
      </c>
      <c r="I1370" s="30" t="s">
        <v>333</v>
      </c>
      <c r="J1370" s="30">
        <v>1</v>
      </c>
      <c r="K1370" s="30" t="s">
        <v>35</v>
      </c>
      <c r="L1370" s="30" t="s">
        <v>107</v>
      </c>
      <c r="M1370" s="30" t="s">
        <v>325</v>
      </c>
      <c r="T1370"/>
    </row>
    <row r="1371" spans="1:58" ht="15" customHeight="1">
      <c r="D1371" s="30" t="s">
        <v>672</v>
      </c>
      <c r="E1371" s="30" t="s">
        <v>322</v>
      </c>
      <c r="G1371" s="35" t="s">
        <v>377</v>
      </c>
      <c r="H1371" s="35" t="s">
        <v>673</v>
      </c>
      <c r="I1371" s="30" t="s">
        <v>48</v>
      </c>
      <c r="J1371" s="30">
        <v>2</v>
      </c>
      <c r="K1371" s="30" t="s">
        <v>35</v>
      </c>
      <c r="L1371" s="30" t="s">
        <v>324</v>
      </c>
      <c r="M1371" s="30" t="s">
        <v>325</v>
      </c>
      <c r="T1371"/>
    </row>
    <row r="1372" spans="1:58" ht="15" customHeight="1">
      <c r="D1372" s="30" t="s">
        <v>672</v>
      </c>
      <c r="E1372" s="30" t="s">
        <v>45</v>
      </c>
      <c r="H1372" s="35" t="s">
        <v>674</v>
      </c>
      <c r="I1372" s="30" t="s">
        <v>48</v>
      </c>
      <c r="J1372" s="30">
        <v>2</v>
      </c>
      <c r="K1372" s="30" t="s">
        <v>35</v>
      </c>
      <c r="L1372" s="30" t="s">
        <v>675</v>
      </c>
      <c r="M1372" s="30" t="s">
        <v>325</v>
      </c>
      <c r="T1372"/>
    </row>
    <row r="1373" spans="1:58" ht="15" customHeight="1">
      <c r="D1373" s="30" t="s">
        <v>672</v>
      </c>
      <c r="E1373" s="30" t="s">
        <v>684</v>
      </c>
      <c r="F1373" s="35" t="s">
        <v>685</v>
      </c>
      <c r="I1373" s="30" t="s">
        <v>329</v>
      </c>
      <c r="J1373" s="30">
        <v>2</v>
      </c>
      <c r="K1373" s="30" t="s">
        <v>35</v>
      </c>
      <c r="L1373" s="30" t="s">
        <v>107</v>
      </c>
      <c r="M1373" s="30" t="s">
        <v>325</v>
      </c>
      <c r="T1373"/>
    </row>
    <row r="1374" spans="1:58" ht="15" customHeight="1">
      <c r="D1374" s="30" t="s">
        <v>672</v>
      </c>
      <c r="E1374" s="30" t="s">
        <v>347</v>
      </c>
      <c r="G1374" s="35" t="s">
        <v>348</v>
      </c>
      <c r="H1374" s="35" t="s">
        <v>678</v>
      </c>
      <c r="I1374" s="30" t="s">
        <v>329</v>
      </c>
      <c r="J1374" s="30">
        <v>2</v>
      </c>
      <c r="K1374" s="30" t="s">
        <v>35</v>
      </c>
      <c r="L1374" s="30" t="s">
        <v>330</v>
      </c>
      <c r="M1374" s="30" t="s">
        <v>325</v>
      </c>
      <c r="T1374"/>
    </row>
    <row r="1375" spans="1:58" ht="15" customHeight="1">
      <c r="D1375" s="30" t="s">
        <v>672</v>
      </c>
      <c r="E1375" s="30" t="s">
        <v>331</v>
      </c>
      <c r="F1375" s="35" t="s">
        <v>345</v>
      </c>
      <c r="I1375" s="30" t="s">
        <v>333</v>
      </c>
      <c r="J1375" s="30">
        <v>1</v>
      </c>
      <c r="K1375" s="30" t="s">
        <v>35</v>
      </c>
      <c r="L1375" s="30" t="s">
        <v>107</v>
      </c>
      <c r="M1375" s="30" t="s">
        <v>325</v>
      </c>
      <c r="T1375"/>
    </row>
    <row r="1376" spans="1:58" s="96" customFormat="1">
      <c r="A1376" s="132"/>
      <c r="B1376" s="132"/>
      <c r="C1376" s="132"/>
      <c r="D1376" s="30" t="s">
        <v>672</v>
      </c>
      <c r="E1376" s="30" t="s">
        <v>353</v>
      </c>
      <c r="F1376" s="35" t="s">
        <v>354</v>
      </c>
      <c r="G1376" s="35"/>
      <c r="H1376" s="35"/>
      <c r="I1376" s="30" t="s">
        <v>355</v>
      </c>
      <c r="J1376" s="30" t="s">
        <v>352</v>
      </c>
      <c r="K1376" s="30" t="s">
        <v>35</v>
      </c>
      <c r="L1376" s="30" t="s">
        <v>107</v>
      </c>
      <c r="M1376" s="30" t="s">
        <v>325</v>
      </c>
      <c r="N1376" s="30"/>
      <c r="O1376" s="132"/>
      <c r="P1376" s="127"/>
      <c r="Q1376" s="127"/>
      <c r="R1376" s="127"/>
      <c r="S1376" s="127"/>
      <c r="T1376"/>
      <c r="U1376" s="67"/>
      <c r="V1376" s="67"/>
      <c r="W1376" s="67"/>
      <c r="X1376" s="67"/>
      <c r="Y1376" s="67"/>
      <c r="Z1376" s="67"/>
      <c r="AA1376" s="67"/>
      <c r="AB1376" s="67"/>
      <c r="AC1376" s="67"/>
      <c r="AD1376" s="114"/>
      <c r="AE1376" s="67"/>
      <c r="AF1376" s="67"/>
      <c r="AG1376" s="67"/>
      <c r="AH1376" s="67"/>
      <c r="AI1376" s="67"/>
      <c r="AJ1376" s="67"/>
      <c r="AK1376" s="67"/>
      <c r="AL1376" s="67"/>
      <c r="AM1376" s="67"/>
      <c r="AN1376" s="67"/>
      <c r="AO1376" s="67"/>
      <c r="AP1376" s="67"/>
      <c r="AQ1376" s="67"/>
      <c r="AR1376" s="67"/>
      <c r="AS1376" s="67"/>
      <c r="AT1376" s="67"/>
      <c r="AU1376" s="67"/>
      <c r="AV1376" s="67"/>
      <c r="AW1376" s="67"/>
      <c r="AX1376" s="67"/>
      <c r="AY1376" s="67"/>
      <c r="AZ1376" s="67"/>
      <c r="BA1376" s="67"/>
      <c r="BB1376" s="67"/>
      <c r="BC1376" s="67"/>
      <c r="BD1376" s="67"/>
      <c r="BE1376" s="67"/>
      <c r="BF1376" s="67"/>
    </row>
    <row r="1377" spans="1:58">
      <c r="D1377" s="30" t="s">
        <v>672</v>
      </c>
      <c r="E1377" s="30" t="s">
        <v>680</v>
      </c>
      <c r="G1377" s="35" t="s">
        <v>681</v>
      </c>
      <c r="I1377" s="30" t="s">
        <v>329</v>
      </c>
      <c r="J1377" s="30">
        <v>2</v>
      </c>
      <c r="K1377" s="30" t="s">
        <v>35</v>
      </c>
      <c r="L1377" s="30" t="s">
        <v>330</v>
      </c>
      <c r="M1377" s="30" t="s">
        <v>325</v>
      </c>
      <c r="T1377"/>
    </row>
    <row r="1378" spans="1:58">
      <c r="D1378" s="30" t="s">
        <v>672</v>
      </c>
      <c r="E1378" s="30" t="s">
        <v>326</v>
      </c>
      <c r="G1378" s="35" t="s">
        <v>380</v>
      </c>
      <c r="H1378" s="35" t="s">
        <v>676</v>
      </c>
      <c r="I1378" s="30" t="s">
        <v>329</v>
      </c>
      <c r="J1378" s="30">
        <v>2</v>
      </c>
      <c r="K1378" s="30" t="s">
        <v>35</v>
      </c>
      <c r="L1378" s="30" t="s">
        <v>330</v>
      </c>
      <c r="M1378" s="30" t="s">
        <v>325</v>
      </c>
      <c r="T1378"/>
    </row>
    <row r="1379" spans="1:58">
      <c r="D1379" s="30" t="s">
        <v>672</v>
      </c>
      <c r="E1379" s="30" t="s">
        <v>349</v>
      </c>
      <c r="F1379" s="35" t="s">
        <v>679</v>
      </c>
      <c r="I1379" s="30" t="s">
        <v>351</v>
      </c>
      <c r="J1379" s="30" t="s">
        <v>352</v>
      </c>
      <c r="K1379" s="30" t="s">
        <v>35</v>
      </c>
      <c r="L1379" s="30" t="s">
        <v>324</v>
      </c>
      <c r="M1379" s="30" t="s">
        <v>325</v>
      </c>
      <c r="T1379"/>
    </row>
    <row r="1380" spans="1:58">
      <c r="D1380" s="30" t="s">
        <v>878</v>
      </c>
      <c r="E1380" s="30" t="s">
        <v>322</v>
      </c>
      <c r="G1380" s="35" t="s">
        <v>229</v>
      </c>
      <c r="H1380" s="35" t="s">
        <v>426</v>
      </c>
      <c r="I1380" s="30" t="s">
        <v>48</v>
      </c>
      <c r="J1380" s="30">
        <v>2</v>
      </c>
      <c r="K1380" s="30" t="s">
        <v>35</v>
      </c>
      <c r="L1380" s="30" t="s">
        <v>324</v>
      </c>
      <c r="M1380" s="30" t="s">
        <v>325</v>
      </c>
      <c r="T1380"/>
    </row>
    <row r="1381" spans="1:58" s="96" customFormat="1">
      <c r="A1381" s="132"/>
      <c r="B1381" s="132"/>
      <c r="C1381" s="132"/>
      <c r="D1381" s="30" t="s">
        <v>878</v>
      </c>
      <c r="E1381" s="30" t="s">
        <v>45</v>
      </c>
      <c r="F1381" s="35"/>
      <c r="G1381" s="35" t="s">
        <v>364</v>
      </c>
      <c r="H1381" s="35" t="s">
        <v>365</v>
      </c>
      <c r="I1381" s="30" t="s">
        <v>48</v>
      </c>
      <c r="J1381" s="30">
        <v>2</v>
      </c>
      <c r="K1381" s="30" t="s">
        <v>35</v>
      </c>
      <c r="L1381" s="30" t="s">
        <v>358</v>
      </c>
      <c r="M1381" s="30" t="s">
        <v>325</v>
      </c>
      <c r="O1381" s="132"/>
      <c r="P1381" s="127"/>
      <c r="Q1381" s="127"/>
      <c r="R1381" s="127"/>
      <c r="S1381" s="127"/>
      <c r="T1381"/>
      <c r="U1381" s="67"/>
      <c r="V1381" s="67"/>
      <c r="W1381" s="67"/>
      <c r="X1381" s="67"/>
      <c r="Y1381" s="67"/>
      <c r="Z1381" s="67"/>
      <c r="AA1381" s="67"/>
      <c r="AB1381" s="67"/>
      <c r="AC1381" s="67"/>
      <c r="AD1381" s="114"/>
      <c r="AE1381" s="67"/>
      <c r="AF1381" s="67"/>
      <c r="AG1381" s="67"/>
      <c r="AH1381" s="67"/>
      <c r="AI1381" s="67"/>
      <c r="AJ1381" s="67"/>
      <c r="AK1381" s="67"/>
      <c r="AL1381" s="67"/>
      <c r="AM1381" s="67"/>
      <c r="AN1381" s="67"/>
      <c r="AO1381" s="67"/>
      <c r="AP1381" s="67"/>
      <c r="AQ1381" s="67"/>
      <c r="AR1381" s="67"/>
      <c r="AS1381" s="67"/>
      <c r="AT1381" s="67"/>
      <c r="AU1381" s="67"/>
      <c r="AV1381" s="67"/>
      <c r="AW1381" s="67"/>
      <c r="AX1381" s="67"/>
      <c r="AY1381" s="67"/>
      <c r="AZ1381" s="67"/>
      <c r="BA1381" s="67"/>
      <c r="BB1381" s="67"/>
      <c r="BC1381" s="67"/>
      <c r="BD1381" s="67"/>
      <c r="BE1381" s="67"/>
      <c r="BF1381" s="67"/>
    </row>
    <row r="1382" spans="1:58">
      <c r="D1382" s="30" t="s">
        <v>878</v>
      </c>
      <c r="E1382" s="30" t="s">
        <v>331</v>
      </c>
      <c r="F1382" s="35" t="s">
        <v>345</v>
      </c>
      <c r="I1382" s="30" t="s">
        <v>333</v>
      </c>
      <c r="J1382" s="30">
        <v>1</v>
      </c>
      <c r="K1382" s="30" t="s">
        <v>35</v>
      </c>
      <c r="L1382" s="30" t="s">
        <v>107</v>
      </c>
      <c r="M1382" s="30" t="s">
        <v>325</v>
      </c>
      <c r="T1382"/>
    </row>
    <row r="1383" spans="1:58">
      <c r="D1383" s="30" t="s">
        <v>878</v>
      </c>
      <c r="E1383" s="30" t="s">
        <v>353</v>
      </c>
      <c r="F1383" s="35" t="s">
        <v>354</v>
      </c>
      <c r="I1383" s="30" t="s">
        <v>355</v>
      </c>
      <c r="J1383" s="30" t="s">
        <v>352</v>
      </c>
      <c r="K1383" s="30" t="s">
        <v>35</v>
      </c>
      <c r="L1383" s="30" t="s">
        <v>107</v>
      </c>
      <c r="M1383" s="30" t="s">
        <v>325</v>
      </c>
      <c r="T1383"/>
    </row>
    <row r="1384" spans="1:58">
      <c r="D1384" s="30" t="s">
        <v>878</v>
      </c>
      <c r="E1384" s="30" t="s">
        <v>326</v>
      </c>
      <c r="G1384" s="35" t="s">
        <v>630</v>
      </c>
      <c r="H1384" s="35" t="s">
        <v>631</v>
      </c>
      <c r="I1384" s="30" t="s">
        <v>329</v>
      </c>
      <c r="J1384" s="30">
        <v>2</v>
      </c>
      <c r="K1384" s="30" t="s">
        <v>35</v>
      </c>
      <c r="L1384" s="30" t="s">
        <v>330</v>
      </c>
      <c r="M1384" s="30" t="s">
        <v>325</v>
      </c>
      <c r="T1384"/>
    </row>
    <row r="1385" spans="1:58">
      <c r="D1385" s="30" t="s">
        <v>878</v>
      </c>
      <c r="E1385" s="30" t="s">
        <v>349</v>
      </c>
      <c r="F1385" s="35" t="s">
        <v>632</v>
      </c>
      <c r="I1385" s="30" t="s">
        <v>351</v>
      </c>
      <c r="J1385" s="30" t="s">
        <v>352</v>
      </c>
      <c r="K1385" s="30" t="s">
        <v>35</v>
      </c>
      <c r="L1385" s="30" t="s">
        <v>324</v>
      </c>
      <c r="M1385" s="30" t="s">
        <v>325</v>
      </c>
      <c r="T1385"/>
    </row>
    <row r="1386" spans="1:58">
      <c r="D1386" s="134" t="s">
        <v>879</v>
      </c>
      <c r="E1386" s="30" t="s">
        <v>46</v>
      </c>
      <c r="F1386" s="35" t="s">
        <v>335</v>
      </c>
      <c r="I1386" s="30" t="s">
        <v>333</v>
      </c>
      <c r="J1386" s="30">
        <v>1</v>
      </c>
      <c r="K1386" s="30" t="s">
        <v>35</v>
      </c>
      <c r="L1386" s="30" t="s">
        <v>336</v>
      </c>
      <c r="M1386" s="30" t="s">
        <v>325</v>
      </c>
      <c r="T1386"/>
    </row>
    <row r="1387" spans="1:58">
      <c r="D1387" s="134" t="s">
        <v>880</v>
      </c>
      <c r="E1387" s="30" t="s">
        <v>337</v>
      </c>
      <c r="F1387" s="35" t="s">
        <v>368</v>
      </c>
      <c r="I1387" s="30" t="s">
        <v>333</v>
      </c>
      <c r="J1387" s="30">
        <v>1</v>
      </c>
      <c r="K1387" s="30" t="s">
        <v>35</v>
      </c>
      <c r="L1387" s="30" t="s">
        <v>336</v>
      </c>
      <c r="M1387" s="30" t="s">
        <v>325</v>
      </c>
      <c r="T1387"/>
    </row>
    <row r="1388" spans="1:58">
      <c r="D1388" s="134" t="s">
        <v>881</v>
      </c>
      <c r="E1388" s="30" t="s">
        <v>334</v>
      </c>
      <c r="H1388" s="35" t="s">
        <v>386</v>
      </c>
      <c r="I1388" s="30" t="s">
        <v>333</v>
      </c>
      <c r="J1388" s="30">
        <v>1</v>
      </c>
      <c r="K1388" s="30" t="s">
        <v>35</v>
      </c>
      <c r="L1388" s="30" t="s">
        <v>336</v>
      </c>
      <c r="M1388" s="30" t="s">
        <v>325</v>
      </c>
      <c r="T1388"/>
    </row>
    <row r="1389" spans="1:58">
      <c r="D1389" s="134" t="s">
        <v>861</v>
      </c>
      <c r="E1389" s="30" t="s">
        <v>338</v>
      </c>
      <c r="F1389" s="35" t="s">
        <v>339</v>
      </c>
      <c r="I1389" s="30" t="s">
        <v>333</v>
      </c>
      <c r="J1389" s="30">
        <v>1</v>
      </c>
      <c r="K1389" s="30" t="s">
        <v>35</v>
      </c>
      <c r="L1389" s="30" t="s">
        <v>107</v>
      </c>
      <c r="M1389" s="30" t="s">
        <v>325</v>
      </c>
      <c r="T1389"/>
    </row>
    <row r="1390" spans="1:58">
      <c r="D1390" s="134" t="s">
        <v>862</v>
      </c>
      <c r="E1390" s="30" t="s">
        <v>322</v>
      </c>
      <c r="G1390" s="35" t="s">
        <v>501</v>
      </c>
      <c r="H1390" s="35" t="s">
        <v>452</v>
      </c>
      <c r="I1390" s="30" t="s">
        <v>48</v>
      </c>
      <c r="J1390" s="30">
        <v>2</v>
      </c>
      <c r="K1390" s="30" t="s">
        <v>35</v>
      </c>
      <c r="L1390" s="30" t="s">
        <v>324</v>
      </c>
      <c r="M1390" s="30" t="s">
        <v>325</v>
      </c>
      <c r="T1390"/>
    </row>
    <row r="1391" spans="1:58">
      <c r="D1391" s="134" t="s">
        <v>863</v>
      </c>
      <c r="E1391" s="30" t="s">
        <v>45</v>
      </c>
      <c r="G1391" s="35" t="s">
        <v>504</v>
      </c>
      <c r="H1391" s="35" t="s">
        <v>378</v>
      </c>
      <c r="I1391" s="30" t="s">
        <v>48</v>
      </c>
      <c r="J1391" s="30">
        <v>2</v>
      </c>
      <c r="K1391" s="30" t="s">
        <v>35</v>
      </c>
      <c r="L1391" s="30" t="s">
        <v>358</v>
      </c>
      <c r="M1391" s="30" t="s">
        <v>325</v>
      </c>
      <c r="T1391"/>
    </row>
    <row r="1392" spans="1:58">
      <c r="D1392" s="134" t="s">
        <v>882</v>
      </c>
      <c r="E1392" s="30" t="s">
        <v>331</v>
      </c>
      <c r="F1392" s="35" t="s">
        <v>345</v>
      </c>
      <c r="I1392" s="30" t="s">
        <v>333</v>
      </c>
      <c r="J1392" s="30">
        <v>1</v>
      </c>
      <c r="K1392" s="30" t="s">
        <v>35</v>
      </c>
      <c r="L1392" s="30" t="s">
        <v>107</v>
      </c>
      <c r="M1392" s="30" t="s">
        <v>325</v>
      </c>
      <c r="T1392"/>
    </row>
    <row r="1393" spans="4:20">
      <c r="D1393" s="134" t="s">
        <v>883</v>
      </c>
      <c r="E1393" s="30" t="s">
        <v>353</v>
      </c>
      <c r="F1393" s="35" t="s">
        <v>354</v>
      </c>
      <c r="I1393" s="30" t="s">
        <v>355</v>
      </c>
      <c r="J1393" s="30" t="s">
        <v>352</v>
      </c>
      <c r="K1393" s="30" t="s">
        <v>35</v>
      </c>
      <c r="L1393" s="30" t="s">
        <v>107</v>
      </c>
      <c r="M1393" s="30" t="s">
        <v>325</v>
      </c>
      <c r="T1393"/>
    </row>
    <row r="1394" spans="4:20">
      <c r="D1394" s="134" t="s">
        <v>884</v>
      </c>
      <c r="E1394" s="30" t="s">
        <v>326</v>
      </c>
      <c r="G1394" s="35" t="s">
        <v>619</v>
      </c>
      <c r="H1394" s="35" t="s">
        <v>620</v>
      </c>
      <c r="I1394" s="30" t="s">
        <v>329</v>
      </c>
      <c r="J1394" s="30">
        <v>2</v>
      </c>
      <c r="K1394" s="30" t="s">
        <v>35</v>
      </c>
      <c r="L1394" s="30" t="s">
        <v>330</v>
      </c>
      <c r="M1394" s="30" t="s">
        <v>325</v>
      </c>
      <c r="T1394"/>
    </row>
    <row r="1395" spans="4:20">
      <c r="D1395" s="134" t="s">
        <v>885</v>
      </c>
      <c r="E1395" s="30" t="s">
        <v>349</v>
      </c>
      <c r="F1395" s="35" t="s">
        <v>621</v>
      </c>
      <c r="I1395" s="30" t="s">
        <v>351</v>
      </c>
      <c r="J1395" s="30" t="s">
        <v>352</v>
      </c>
      <c r="K1395" s="30" t="s">
        <v>35</v>
      </c>
      <c r="L1395" s="30" t="s">
        <v>324</v>
      </c>
      <c r="M1395" s="30" t="s">
        <v>325</v>
      </c>
      <c r="T1395"/>
    </row>
    <row r="1396" spans="4:20">
      <c r="D1396" s="134" t="s">
        <v>880</v>
      </c>
      <c r="E1396" s="30" t="s">
        <v>46</v>
      </c>
      <c r="F1396" s="35" t="s">
        <v>335</v>
      </c>
      <c r="I1396" s="30" t="s">
        <v>333</v>
      </c>
      <c r="J1396" s="30">
        <v>1</v>
      </c>
      <c r="K1396" s="30" t="s">
        <v>35</v>
      </c>
      <c r="L1396" s="30" t="s">
        <v>336</v>
      </c>
      <c r="M1396" s="30" t="s">
        <v>325</v>
      </c>
      <c r="T1396"/>
    </row>
    <row r="1397" spans="4:20">
      <c r="D1397" s="134" t="s">
        <v>881</v>
      </c>
      <c r="E1397" s="30" t="s">
        <v>337</v>
      </c>
      <c r="F1397" s="35" t="s">
        <v>368</v>
      </c>
      <c r="I1397" s="30" t="s">
        <v>333</v>
      </c>
      <c r="J1397" s="30">
        <v>1</v>
      </c>
      <c r="K1397" s="30" t="s">
        <v>35</v>
      </c>
      <c r="L1397" s="30" t="s">
        <v>336</v>
      </c>
      <c r="M1397" s="30" t="s">
        <v>325</v>
      </c>
      <c r="T1397"/>
    </row>
    <row r="1398" spans="4:20">
      <c r="D1398" s="134" t="s">
        <v>861</v>
      </c>
      <c r="E1398" s="30" t="s">
        <v>334</v>
      </c>
      <c r="H1398" s="35" t="s">
        <v>386</v>
      </c>
      <c r="I1398" s="30" t="s">
        <v>333</v>
      </c>
      <c r="J1398" s="30">
        <v>1</v>
      </c>
      <c r="K1398" s="30" t="s">
        <v>35</v>
      </c>
      <c r="L1398" s="30" t="s">
        <v>336</v>
      </c>
      <c r="M1398" s="30" t="s">
        <v>325</v>
      </c>
      <c r="T1398"/>
    </row>
    <row r="1399" spans="4:20">
      <c r="D1399" s="134" t="s">
        <v>862</v>
      </c>
      <c r="E1399" s="30" t="s">
        <v>338</v>
      </c>
      <c r="F1399" s="35" t="s">
        <v>339</v>
      </c>
      <c r="I1399" s="30" t="s">
        <v>333</v>
      </c>
      <c r="J1399" s="30">
        <v>1</v>
      </c>
      <c r="K1399" s="30" t="s">
        <v>35</v>
      </c>
      <c r="L1399" s="30" t="s">
        <v>107</v>
      </c>
      <c r="M1399" s="30" t="s">
        <v>325</v>
      </c>
      <c r="T1399"/>
    </row>
    <row r="1400" spans="4:20">
      <c r="D1400" s="134" t="s">
        <v>863</v>
      </c>
      <c r="E1400" s="30" t="s">
        <v>322</v>
      </c>
      <c r="G1400" s="35" t="s">
        <v>452</v>
      </c>
      <c r="H1400" s="35" t="s">
        <v>519</v>
      </c>
      <c r="I1400" s="30" t="s">
        <v>48</v>
      </c>
      <c r="J1400" s="30">
        <v>2</v>
      </c>
      <c r="K1400" s="30" t="s">
        <v>35</v>
      </c>
      <c r="L1400" s="30" t="s">
        <v>324</v>
      </c>
      <c r="M1400" s="30" t="s">
        <v>325</v>
      </c>
      <c r="T1400"/>
    </row>
    <row r="1401" spans="4:20">
      <c r="D1401" s="134" t="s">
        <v>882</v>
      </c>
      <c r="E1401" s="30" t="s">
        <v>45</v>
      </c>
      <c r="G1401" s="35" t="s">
        <v>622</v>
      </c>
      <c r="H1401" s="35" t="s">
        <v>397</v>
      </c>
      <c r="I1401" s="30" t="s">
        <v>48</v>
      </c>
      <c r="J1401" s="30">
        <v>2</v>
      </c>
      <c r="K1401" s="30" t="s">
        <v>35</v>
      </c>
      <c r="L1401" s="30" t="s">
        <v>358</v>
      </c>
      <c r="M1401" s="30" t="s">
        <v>325</v>
      </c>
      <c r="T1401"/>
    </row>
    <row r="1402" spans="4:20">
      <c r="D1402" s="134" t="s">
        <v>883</v>
      </c>
      <c r="E1402" s="30" t="s">
        <v>331</v>
      </c>
      <c r="F1402" s="35" t="s">
        <v>345</v>
      </c>
      <c r="I1402" s="30" t="s">
        <v>333</v>
      </c>
      <c r="J1402" s="30">
        <v>1</v>
      </c>
      <c r="K1402" s="30" t="s">
        <v>35</v>
      </c>
      <c r="L1402" s="30" t="s">
        <v>107</v>
      </c>
      <c r="M1402" s="30" t="s">
        <v>325</v>
      </c>
      <c r="T1402"/>
    </row>
    <row r="1403" spans="4:20">
      <c r="D1403" s="134" t="s">
        <v>884</v>
      </c>
      <c r="E1403" s="96" t="s">
        <v>353</v>
      </c>
      <c r="F1403" s="105" t="s">
        <v>354</v>
      </c>
      <c r="G1403" s="105"/>
      <c r="H1403" s="105"/>
      <c r="I1403" s="96" t="s">
        <v>355</v>
      </c>
      <c r="J1403" s="96" t="s">
        <v>352</v>
      </c>
      <c r="K1403" s="96" t="s">
        <v>35</v>
      </c>
      <c r="L1403" s="96" t="s">
        <v>107</v>
      </c>
      <c r="M1403" s="96" t="s">
        <v>325</v>
      </c>
      <c r="T1403"/>
    </row>
    <row r="1404" spans="4:20">
      <c r="D1404" s="134" t="s">
        <v>885</v>
      </c>
      <c r="E1404" s="30" t="s">
        <v>326</v>
      </c>
      <c r="G1404" s="35" t="s">
        <v>413</v>
      </c>
      <c r="H1404" s="35" t="s">
        <v>522</v>
      </c>
      <c r="I1404" s="30" t="s">
        <v>329</v>
      </c>
      <c r="J1404" s="30">
        <v>2</v>
      </c>
      <c r="K1404" s="30" t="s">
        <v>35</v>
      </c>
      <c r="L1404" s="30" t="s">
        <v>330</v>
      </c>
      <c r="M1404" s="30" t="s">
        <v>325</v>
      </c>
      <c r="T1404"/>
    </row>
    <row r="1405" spans="4:20">
      <c r="D1405" s="134" t="s">
        <v>864</v>
      </c>
      <c r="E1405" s="30" t="s">
        <v>349</v>
      </c>
      <c r="F1405" s="35" t="s">
        <v>641</v>
      </c>
      <c r="I1405" s="30" t="s">
        <v>351</v>
      </c>
      <c r="J1405" s="30" t="s">
        <v>352</v>
      </c>
      <c r="K1405" s="30" t="s">
        <v>35</v>
      </c>
      <c r="L1405" s="30" t="s">
        <v>324</v>
      </c>
      <c r="M1405" s="30" t="s">
        <v>325</v>
      </c>
    </row>
    <row r="1406" spans="4:20">
      <c r="D1406" s="30" t="s">
        <v>886</v>
      </c>
      <c r="E1406" s="134" t="s">
        <v>601</v>
      </c>
      <c r="G1406" s="35" t="s">
        <v>602</v>
      </c>
      <c r="H1406" s="35" t="s">
        <v>603</v>
      </c>
      <c r="I1406" s="30" t="s">
        <v>48</v>
      </c>
      <c r="J1406" s="30">
        <v>2</v>
      </c>
      <c r="K1406" s="30" t="s">
        <v>35</v>
      </c>
      <c r="L1406" s="30" t="s">
        <v>324</v>
      </c>
      <c r="M1406" s="30" t="s">
        <v>325</v>
      </c>
    </row>
    <row r="1407" spans="4:20">
      <c r="D1407" s="30" t="s">
        <v>886</v>
      </c>
      <c r="E1407" s="30" t="s">
        <v>604</v>
      </c>
      <c r="G1407" s="35" t="s">
        <v>346</v>
      </c>
      <c r="H1407" s="35" t="s">
        <v>605</v>
      </c>
      <c r="I1407" s="30" t="s">
        <v>333</v>
      </c>
      <c r="J1407" s="30">
        <v>2</v>
      </c>
      <c r="K1407" s="30" t="s">
        <v>35</v>
      </c>
      <c r="L1407" s="30" t="s">
        <v>336</v>
      </c>
      <c r="M1407" s="30" t="s">
        <v>325</v>
      </c>
    </row>
  </sheetData>
  <autoFilter ref="D1:N1404"/>
  <mergeCells count="4">
    <mergeCell ref="T128:AC129"/>
    <mergeCell ref="T1:AC2"/>
    <mergeCell ref="T4:AC4"/>
    <mergeCell ref="T11:AC11"/>
  </mergeCells>
  <phoneticPr fontId="57" type="noConversion"/>
  <pageMargins left="0.511811024" right="0.511811024" top="0.78740157499999996" bottom="0.78740157499999996" header="0.31496062000000002" footer="0.31496062000000002"/>
  <pageSetup paperSize="9" orientation="portrait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>
    <tabColor theme="3" tint="0.79998168889431442"/>
    <pageSetUpPr fitToPage="1"/>
  </sheetPr>
  <dimension ref="A1:U65"/>
  <sheetViews>
    <sheetView showGridLines="0" view="pageBreakPreview" zoomScale="85" zoomScaleNormal="90" zoomScaleSheetLayoutView="85" workbookViewId="0">
      <selection activeCell="N54" sqref="N54:N55"/>
    </sheetView>
  </sheetViews>
  <sheetFormatPr defaultRowHeight="12.75"/>
  <cols>
    <col min="1" max="1" width="14.42578125" style="25" customWidth="1"/>
    <col min="2" max="2" width="10.140625" style="25" customWidth="1"/>
    <col min="3" max="3" width="12.28515625" style="25" customWidth="1"/>
    <col min="4" max="4" width="9.28515625" style="25" customWidth="1"/>
    <col min="5" max="5" width="7.7109375" style="25" customWidth="1"/>
    <col min="6" max="6" width="6.42578125" style="25" customWidth="1"/>
    <col min="7" max="7" width="8.85546875" style="25" customWidth="1"/>
    <col min="8" max="8" width="11.42578125" style="25" customWidth="1"/>
    <col min="9" max="9" width="8.85546875" style="25" customWidth="1"/>
    <col min="10" max="10" width="11.42578125" style="25" customWidth="1"/>
    <col min="11" max="11" width="20.140625" style="25" customWidth="1"/>
    <col min="12" max="12" width="18.5703125" style="25" customWidth="1"/>
    <col min="13" max="13" width="9.28515625" style="25" customWidth="1"/>
    <col min="14" max="14" width="18.85546875" style="25" customWidth="1"/>
    <col min="15" max="15" width="11.28515625" style="25" customWidth="1"/>
    <col min="16" max="16" width="15" style="25" customWidth="1"/>
    <col min="17" max="17" width="15.5703125" style="25" customWidth="1"/>
    <col min="18" max="16384" width="9.140625" style="25"/>
  </cols>
  <sheetData>
    <row r="1" spans="1:21" ht="12.75" customHeight="1">
      <c r="A1" s="212" t="s">
        <v>0</v>
      </c>
      <c r="B1" s="213"/>
      <c r="C1" s="213"/>
      <c r="D1" s="213"/>
      <c r="E1" s="213"/>
      <c r="F1" s="213"/>
      <c r="G1" s="213"/>
      <c r="H1" s="213"/>
      <c r="I1" s="213"/>
      <c r="J1" s="213"/>
      <c r="K1" s="213"/>
      <c r="L1" s="213"/>
      <c r="M1" s="213"/>
      <c r="N1" s="213"/>
      <c r="O1" s="213"/>
      <c r="P1" s="213"/>
      <c r="Q1" s="214"/>
    </row>
    <row r="2" spans="1:21" ht="13.5" customHeight="1" thickBot="1">
      <c r="A2" s="215"/>
      <c r="B2" s="216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7"/>
      <c r="U2" s="41"/>
    </row>
    <row r="3" spans="1:21" ht="12.75" customHeight="1">
      <c r="A3" s="218" t="s">
        <v>1</v>
      </c>
      <c r="B3" s="219"/>
      <c r="C3" s="3" t="s">
        <v>34</v>
      </c>
      <c r="D3" s="220" t="s">
        <v>2</v>
      </c>
      <c r="E3" s="220"/>
      <c r="F3" s="220"/>
      <c r="G3" s="221" t="s">
        <v>33</v>
      </c>
      <c r="H3" s="222"/>
      <c r="I3" s="262" t="str">
        <f>IF('MATERIA PRIMA'!I3:I4="","",'MATERIA PRIMA'!I3:I4)</f>
        <v/>
      </c>
      <c r="J3" s="244" t="s">
        <v>708</v>
      </c>
      <c r="K3" s="244"/>
      <c r="L3" s="271" t="str">
        <f>IF('MATERIA PRIMA'!L3:L4="","",'MATERIA PRIMA'!L3:L4)</f>
        <v/>
      </c>
      <c r="M3" s="248" t="s">
        <v>710</v>
      </c>
      <c r="N3" s="248"/>
      <c r="O3" s="271" t="str">
        <f>IF('MATERIA PRIMA'!O3:O4="","",'MATERIA PRIMA'!O3:O4)</f>
        <v>X</v>
      </c>
      <c r="P3" s="250" t="s">
        <v>22</v>
      </c>
      <c r="Q3" s="26" t="s">
        <v>4</v>
      </c>
      <c r="U3" s="42"/>
    </row>
    <row r="4" spans="1:21" ht="12.75" customHeight="1">
      <c r="A4" s="277" t="str">
        <f>IF('MATERIA PRIMA'!A4:B4="","",'MATERIA PRIMA'!A4:B4)</f>
        <v/>
      </c>
      <c r="B4" s="278"/>
      <c r="C4" s="27" t="str">
        <f>IF('MATERIA PRIMA'!C4="","",'MATERIA PRIMA'!C4)</f>
        <v/>
      </c>
      <c r="D4" s="279" t="str">
        <f>IF('MATERIA PRIMA'!D4:F4="","",'MATERIA PRIMA'!D4:F4)</f>
        <v/>
      </c>
      <c r="E4" s="280"/>
      <c r="F4" s="280"/>
      <c r="G4" s="239" t="str">
        <f>IF('MATERIA PRIMA'!G4:H4="","",'MATERIA PRIMA'!G4:H4)</f>
        <v/>
      </c>
      <c r="H4" s="241"/>
      <c r="I4" s="263"/>
      <c r="J4" s="245"/>
      <c r="K4" s="245"/>
      <c r="L4" s="272"/>
      <c r="M4" s="249"/>
      <c r="N4" s="249"/>
      <c r="O4" s="272"/>
      <c r="P4" s="251"/>
      <c r="Q4" s="56">
        <f ca="1">_xlfn.SHEET()</f>
        <v>9</v>
      </c>
      <c r="U4" s="41"/>
    </row>
    <row r="5" spans="1:21">
      <c r="A5" s="228" t="s">
        <v>21</v>
      </c>
      <c r="B5" s="229"/>
      <c r="C5" s="227" t="s">
        <v>3</v>
      </c>
      <c r="D5" s="191"/>
      <c r="E5" s="191"/>
      <c r="F5" s="191"/>
      <c r="G5" s="191"/>
      <c r="H5" s="192"/>
      <c r="I5" s="227" t="s">
        <v>5</v>
      </c>
      <c r="J5" s="191"/>
      <c r="K5" s="191"/>
      <c r="L5" s="192"/>
      <c r="M5" s="227" t="s">
        <v>29</v>
      </c>
      <c r="N5" s="191"/>
      <c r="O5" s="191"/>
      <c r="P5" s="192"/>
      <c r="Q5" s="28" t="s">
        <v>7</v>
      </c>
      <c r="U5" s="42"/>
    </row>
    <row r="6" spans="1:21" ht="13.5" customHeight="1">
      <c r="A6" s="273" t="str">
        <f>IF('MATERIA PRIMA'!A6:B6="","",'MATERIA PRIMA'!A6:B6)</f>
        <v/>
      </c>
      <c r="B6" s="274"/>
      <c r="C6" s="275" t="str">
        <f>IF('MATERIA PRIMA'!C6:H6="","",'MATERIA PRIMA'!C6:H6)</f>
        <v/>
      </c>
      <c r="D6" s="276"/>
      <c r="E6" s="276"/>
      <c r="F6" s="276"/>
      <c r="G6" s="276"/>
      <c r="H6" s="274"/>
      <c r="I6" s="239" t="s">
        <v>6</v>
      </c>
      <c r="J6" s="240"/>
      <c r="K6" s="240"/>
      <c r="L6" s="241"/>
      <c r="M6" s="275" t="str">
        <f>IF('MATERIA PRIMA'!M6:P6="","",'MATERIA PRIMA'!M6:P6)</f>
        <v/>
      </c>
      <c r="N6" s="276"/>
      <c r="O6" s="276"/>
      <c r="P6" s="274"/>
      <c r="Q6" s="38" t="str">
        <f>IF('MATERIA PRIMA'!Q6="","",'MATERIA PRIMA'!Q6)</f>
        <v/>
      </c>
      <c r="U6" s="41"/>
    </row>
    <row r="7" spans="1:21">
      <c r="A7" s="190" t="s">
        <v>28</v>
      </c>
      <c r="B7" s="191"/>
      <c r="C7" s="191"/>
      <c r="D7" s="191"/>
      <c r="E7" s="191"/>
      <c r="F7" s="191"/>
      <c r="G7" s="191"/>
      <c r="H7" s="191"/>
      <c r="I7" s="191"/>
      <c r="J7" s="191"/>
      <c r="K7" s="191"/>
      <c r="L7" s="191"/>
      <c r="M7" s="191"/>
      <c r="N7" s="191"/>
      <c r="O7" s="191"/>
      <c r="P7" s="192"/>
      <c r="Q7" s="28" t="s">
        <v>8</v>
      </c>
      <c r="U7" s="42"/>
    </row>
    <row r="8" spans="1:21" ht="12.75" customHeight="1">
      <c r="A8" s="266" t="str">
        <f>IF('MATERIA PRIMA'!A8:P8="","",'MATERIA PRIMA'!A8:P8)</f>
        <v/>
      </c>
      <c r="B8" s="267"/>
      <c r="C8" s="267"/>
      <c r="D8" s="267"/>
      <c r="E8" s="267"/>
      <c r="F8" s="267"/>
      <c r="G8" s="267"/>
      <c r="H8" s="267"/>
      <c r="I8" s="267"/>
      <c r="J8" s="267"/>
      <c r="K8" s="267"/>
      <c r="L8" s="267"/>
      <c r="M8" s="267"/>
      <c r="N8" s="267"/>
      <c r="O8" s="267"/>
      <c r="P8" s="268"/>
      <c r="Q8" s="38" t="str">
        <f>IF('MATERIA PRIMA'!Q8="","",'MATERIA PRIMA'!Q8)</f>
        <v/>
      </c>
      <c r="U8" s="41"/>
    </row>
    <row r="9" spans="1:21" ht="14.25" customHeight="1">
      <c r="A9" s="208" t="s">
        <v>9</v>
      </c>
      <c r="B9" s="223"/>
      <c r="C9" s="223"/>
      <c r="D9" s="223"/>
      <c r="E9" s="223"/>
      <c r="F9" s="223"/>
      <c r="G9" s="186"/>
      <c r="H9" s="224" t="s">
        <v>26</v>
      </c>
      <c r="I9" s="225"/>
      <c r="J9" s="225"/>
      <c r="K9" s="225"/>
      <c r="L9" s="225"/>
      <c r="M9" s="225"/>
      <c r="N9" s="225"/>
      <c r="O9" s="225"/>
      <c r="P9" s="225"/>
      <c r="Q9" s="226"/>
      <c r="U9" s="42"/>
    </row>
    <row r="10" spans="1:21">
      <c r="A10" s="208" t="s">
        <v>10</v>
      </c>
      <c r="B10" s="186"/>
      <c r="C10" s="36" t="s">
        <v>11</v>
      </c>
      <c r="D10" s="185" t="s">
        <v>12</v>
      </c>
      <c r="E10" s="186"/>
      <c r="F10" s="185" t="s">
        <v>11</v>
      </c>
      <c r="G10" s="186"/>
      <c r="H10" s="196"/>
      <c r="I10" s="197"/>
      <c r="J10" s="198"/>
      <c r="K10" s="185" t="s">
        <v>11</v>
      </c>
      <c r="L10" s="186"/>
      <c r="M10" s="187"/>
      <c r="N10" s="188"/>
      <c r="O10" s="189"/>
      <c r="P10" s="46"/>
      <c r="Q10" s="2" t="s">
        <v>11</v>
      </c>
      <c r="U10" s="41"/>
    </row>
    <row r="11" spans="1:21" ht="13.5" thickBot="1">
      <c r="A11" s="202"/>
      <c r="B11" s="203"/>
      <c r="C11" s="60"/>
      <c r="D11" s="204"/>
      <c r="E11" s="203"/>
      <c r="F11" s="204"/>
      <c r="G11" s="203"/>
      <c r="H11" s="209"/>
      <c r="I11" s="210"/>
      <c r="J11" s="211"/>
      <c r="K11" s="204"/>
      <c r="L11" s="203"/>
      <c r="M11" s="205"/>
      <c r="N11" s="206"/>
      <c r="O11" s="207"/>
      <c r="P11" s="61"/>
      <c r="Q11" s="62"/>
      <c r="U11" s="42"/>
    </row>
    <row r="12" spans="1:21">
      <c r="A12" s="282" t="s">
        <v>760</v>
      </c>
      <c r="B12" s="284" t="s">
        <v>759</v>
      </c>
      <c r="C12" s="285"/>
      <c r="D12" s="284" t="s">
        <v>758</v>
      </c>
      <c r="E12" s="285"/>
      <c r="F12" s="258" t="s">
        <v>20</v>
      </c>
      <c r="G12" s="258"/>
      <c r="H12" s="258"/>
      <c r="I12" s="258"/>
      <c r="J12" s="258"/>
      <c r="K12" s="289" t="s">
        <v>23</v>
      </c>
      <c r="L12" s="289"/>
      <c r="M12" s="289"/>
      <c r="N12" s="289"/>
      <c r="O12" s="289"/>
      <c r="P12" s="269" t="s">
        <v>711</v>
      </c>
      <c r="Q12" s="264" t="s">
        <v>757</v>
      </c>
      <c r="U12" s="41"/>
    </row>
    <row r="13" spans="1:21" ht="22.5" customHeight="1">
      <c r="A13" s="283"/>
      <c r="B13" s="286"/>
      <c r="C13" s="287"/>
      <c r="D13" s="286"/>
      <c r="E13" s="287"/>
      <c r="F13" s="106" t="s">
        <v>17</v>
      </c>
      <c r="G13" s="281" t="s">
        <v>750</v>
      </c>
      <c r="H13" s="281"/>
      <c r="I13" s="281" t="s">
        <v>751</v>
      </c>
      <c r="J13" s="281"/>
      <c r="K13" s="29" t="s">
        <v>752</v>
      </c>
      <c r="L13" s="29" t="s">
        <v>753</v>
      </c>
      <c r="M13" s="29" t="s">
        <v>754</v>
      </c>
      <c r="N13" s="29" t="s">
        <v>755</v>
      </c>
      <c r="O13" s="29" t="s">
        <v>756</v>
      </c>
      <c r="P13" s="270"/>
      <c r="Q13" s="265"/>
      <c r="U13" s="42"/>
    </row>
    <row r="14" spans="1:21">
      <c r="A14" s="136"/>
      <c r="B14" s="137"/>
      <c r="C14" s="137"/>
      <c r="D14" s="138"/>
      <c r="E14" s="139"/>
      <c r="F14" s="150" t="str">
        <f>IF(OR(G14&lt;&gt;"",I14&lt;&gt;""),$A$14&amp;"."&amp;(ROW(G14)-12)/2,"")</f>
        <v/>
      </c>
      <c r="G14" s="288"/>
      <c r="H14" s="288"/>
      <c r="I14" s="288"/>
      <c r="J14" s="288"/>
      <c r="K14" s="146"/>
      <c r="L14" s="146"/>
      <c r="M14" s="146" t="str">
        <f>IF(F14&lt;&gt;"",IF($B$14="SELEÇÃO RELÓGIO 100%",2,IF(B14="ENSAIO DTT",5,IF(OR(O14="R.I.F.",O14="R.I.R."),10,
                          IF(OR(RIGHT($B$14,4)="100%",$B$14="OLEAR COM ÓLEO PROTETIVO",$B$14="MAGNAFLUX",$B$14="DESEMPENAR"),"100%",
                          IF(OR(P14="C",P14="E"),4,IF(P14="D",6,2)))))),"")</f>
        <v/>
      </c>
      <c r="N14" s="146"/>
      <c r="O14" s="146" t="str">
        <f>IF(OR(AND(I14&lt;&gt;"",$B$14&lt;&gt;""),AND(G14&lt;&gt;"",$B$14&lt;&gt;"")),VLOOKUP($B$14,DADOS!$B$2:$C$499,2,TRUE),"")</f>
        <v/>
      </c>
      <c r="P14" s="259"/>
      <c r="Q14" s="152" t="str">
        <f>IF(F14&lt;&gt;"","IT 9.4.9.","")</f>
        <v/>
      </c>
      <c r="U14" s="41"/>
    </row>
    <row r="15" spans="1:21">
      <c r="A15" s="136"/>
      <c r="B15" s="137"/>
      <c r="C15" s="137"/>
      <c r="D15" s="140"/>
      <c r="E15" s="141"/>
      <c r="F15" s="150"/>
      <c r="G15" s="288"/>
      <c r="H15" s="288"/>
      <c r="I15" s="288"/>
      <c r="J15" s="288"/>
      <c r="K15" s="147"/>
      <c r="L15" s="147"/>
      <c r="M15" s="147"/>
      <c r="N15" s="147"/>
      <c r="O15" s="147"/>
      <c r="P15" s="260"/>
      <c r="Q15" s="153"/>
      <c r="U15" s="42"/>
    </row>
    <row r="16" spans="1:21" ht="12.75" customHeight="1">
      <c r="A16" s="136"/>
      <c r="B16" s="137"/>
      <c r="C16" s="137"/>
      <c r="D16" s="137"/>
      <c r="E16" s="137"/>
      <c r="F16" s="150" t="str">
        <f>IF(OR(G16&lt;&gt;"",I16&lt;&gt;""),$A$14&amp;"."&amp;(ROW(G16)-12)/2,"")</f>
        <v/>
      </c>
      <c r="G16" s="137"/>
      <c r="H16" s="137"/>
      <c r="I16" s="137"/>
      <c r="J16" s="137"/>
      <c r="K16" s="146"/>
      <c r="L16" s="146"/>
      <c r="M16" s="146" t="str">
        <f>IF(F16&lt;&gt;"",IF($B$14="SELEÇÃO RELÓGIO 100%",2,IF(B16="ENSAIO DTT",5,IF(OR(O16="R.I.F.",O16="R.I.R."),10,
                          IF(OR(RIGHT($B$14,4)="100%",$B$14="OLEAR COM ÓLEO PROTETIVO",$B$14="MAGNAFLUX",$B$14="DESEMPENAR"),"100%",
                          IF(OR(P16="C",P16="E"),4,IF(P16="D",6,2)))))),"")</f>
        <v/>
      </c>
      <c r="N16" s="146"/>
      <c r="O16" s="146" t="str">
        <f>IF(OR(AND(I16&lt;&gt;"",$B$14&lt;&gt;""),AND(G16&lt;&gt;"",$B$14&lt;&gt;"")),VLOOKUP($B$14,DADOS!$B$2:$C$499,2,TRUE),"")</f>
        <v/>
      </c>
      <c r="P16" s="259"/>
      <c r="Q16" s="152" t="str">
        <f>IF(F16&lt;&gt;"","IT 9.4.9.","")</f>
        <v/>
      </c>
      <c r="U16" s="41"/>
    </row>
    <row r="17" spans="1:21" ht="12.75" customHeight="1">
      <c r="A17" s="136"/>
      <c r="B17" s="137"/>
      <c r="C17" s="137"/>
      <c r="D17" s="137"/>
      <c r="E17" s="137"/>
      <c r="F17" s="150"/>
      <c r="G17" s="137"/>
      <c r="H17" s="137"/>
      <c r="I17" s="137"/>
      <c r="J17" s="137"/>
      <c r="K17" s="147"/>
      <c r="L17" s="147"/>
      <c r="M17" s="147"/>
      <c r="N17" s="147"/>
      <c r="O17" s="147"/>
      <c r="P17" s="260"/>
      <c r="Q17" s="153"/>
      <c r="U17" s="42"/>
    </row>
    <row r="18" spans="1:21" ht="12.75" customHeight="1">
      <c r="A18" s="136"/>
      <c r="B18" s="137"/>
      <c r="C18" s="137"/>
      <c r="D18" s="137"/>
      <c r="E18" s="137"/>
      <c r="F18" s="150" t="str">
        <f>IF(OR(G18&lt;&gt;"",I18&lt;&gt;""),$A$14&amp;"."&amp;(ROW(G18)-12)/2,"")</f>
        <v/>
      </c>
      <c r="G18" s="137"/>
      <c r="H18" s="137"/>
      <c r="I18" s="137"/>
      <c r="J18" s="137"/>
      <c r="K18" s="146"/>
      <c r="L18" s="146"/>
      <c r="M18" s="146" t="str">
        <f>IF(F18&lt;&gt;"",IF($B$14="SELEÇÃO RELÓGIO 100%",2,IF(B18="ENSAIO DTT",5,IF(OR(O18="R.I.F.",O18="R.I.R."),10,
                          IF(OR(RIGHT($B$14,4)="100%",$B$14="OLEAR COM ÓLEO PROTETIVO",$B$14="MAGNAFLUX",$B$14="DESEMPENAR"),"100%",
                          IF(OR(P18="C",P18="E"),4,IF(P18="D",6,2)))))),"")</f>
        <v/>
      </c>
      <c r="N18" s="146"/>
      <c r="O18" s="146" t="str">
        <f>IF(OR(AND(I18&lt;&gt;"",$B$14&lt;&gt;""),AND(G18&lt;&gt;"",$B$14&lt;&gt;"")),VLOOKUP($B$14,DADOS!$B$2:$C$499,2,TRUE),"")</f>
        <v/>
      </c>
      <c r="P18" s="259"/>
      <c r="Q18" s="152" t="str">
        <f>IF(F18&lt;&gt;"","IT 9.4.9.","")</f>
        <v/>
      </c>
      <c r="U18" s="41"/>
    </row>
    <row r="19" spans="1:21">
      <c r="A19" s="136"/>
      <c r="B19" s="137"/>
      <c r="C19" s="137"/>
      <c r="D19" s="137"/>
      <c r="E19" s="137"/>
      <c r="F19" s="150"/>
      <c r="G19" s="137"/>
      <c r="H19" s="137"/>
      <c r="I19" s="137"/>
      <c r="J19" s="137"/>
      <c r="K19" s="147"/>
      <c r="L19" s="147"/>
      <c r="M19" s="147"/>
      <c r="N19" s="147"/>
      <c r="O19" s="147"/>
      <c r="P19" s="260"/>
      <c r="Q19" s="153"/>
      <c r="U19" s="42"/>
    </row>
    <row r="20" spans="1:21" ht="12.75" customHeight="1">
      <c r="A20" s="163"/>
      <c r="B20" s="138"/>
      <c r="C20" s="139"/>
      <c r="D20" s="138"/>
      <c r="E20" s="139"/>
      <c r="F20" s="150" t="str">
        <f>IF(OR(G20&lt;&gt;"",I20&lt;&gt;""),$A$14&amp;"."&amp;(ROW(G20)-12)/2,"")</f>
        <v/>
      </c>
      <c r="G20" s="137"/>
      <c r="H20" s="137"/>
      <c r="I20" s="137"/>
      <c r="J20" s="137"/>
      <c r="K20" s="146"/>
      <c r="L20" s="146"/>
      <c r="M20" s="146" t="str">
        <f>IF(F20&lt;&gt;"",IF($B$14="SELEÇÃO RELÓGIO 100%",2,IF(B20="ENSAIO DTT",5,IF(OR(O20="R.I.F.",O20="R.I.R."),10,
                          IF(OR(RIGHT($B$14,4)="100%",$B$14="OLEAR COM ÓLEO PROTETIVO",$B$14="MAGNAFLUX",$B$14="DESEMPENAR"),"100%",
                          IF(OR(P20="C",P20="E"),4,IF(P20="D",6,2)))))),"")</f>
        <v/>
      </c>
      <c r="N20" s="146"/>
      <c r="O20" s="146" t="str">
        <f>IF(OR(AND(I20&lt;&gt;"",$B$14&lt;&gt;""),AND(G20&lt;&gt;"",$B$14&lt;&gt;"")),VLOOKUP($B$14,DADOS!$B$2:$C$499,2,TRUE),"")</f>
        <v/>
      </c>
      <c r="P20" s="259"/>
      <c r="Q20" s="152" t="str">
        <f>IF(F20&lt;&gt;"","IT 9.4.9.","")</f>
        <v/>
      </c>
      <c r="U20" s="41"/>
    </row>
    <row r="21" spans="1:21" ht="12.75" customHeight="1">
      <c r="A21" s="261"/>
      <c r="B21" s="140"/>
      <c r="C21" s="141"/>
      <c r="D21" s="140"/>
      <c r="E21" s="141"/>
      <c r="F21" s="150"/>
      <c r="G21" s="137"/>
      <c r="H21" s="137"/>
      <c r="I21" s="137"/>
      <c r="J21" s="137"/>
      <c r="K21" s="147"/>
      <c r="L21" s="147"/>
      <c r="M21" s="147"/>
      <c r="N21" s="147"/>
      <c r="O21" s="147"/>
      <c r="P21" s="260"/>
      <c r="Q21" s="153"/>
      <c r="U21" s="42"/>
    </row>
    <row r="22" spans="1:21" ht="12.75" customHeight="1">
      <c r="A22" s="136"/>
      <c r="B22" s="138"/>
      <c r="C22" s="139"/>
      <c r="D22" s="137"/>
      <c r="E22" s="137"/>
      <c r="F22" s="150" t="str">
        <f>IF(OR(G22&lt;&gt;"",I22&lt;&gt;""),$A$14&amp;"."&amp;(ROW(G22)-12)/2,"")</f>
        <v/>
      </c>
      <c r="G22" s="137"/>
      <c r="H22" s="137"/>
      <c r="I22" s="137"/>
      <c r="J22" s="137"/>
      <c r="K22" s="137"/>
      <c r="L22" s="146"/>
      <c r="M22" s="146" t="str">
        <f>IF(F22&lt;&gt;"",IF($B$14="SELEÇÃO RELÓGIO 100%",2,IF(B22="ENSAIO DTT",5,IF(OR(O22="R.I.F.",O22="R.I.R."),10,
                          IF(OR(RIGHT($B$14,4)="100%",$B$14="OLEAR COM ÓLEO PROTETIVO",$B$14="MAGNAFLUX",$B$14="DESEMPENAR"),"100%",
                          IF(OR(P22="C",P22="E"),4,IF(P22="D",6,2)))))),"")</f>
        <v/>
      </c>
      <c r="N22" s="146"/>
      <c r="O22" s="146" t="str">
        <f>IF(OR(AND(I22&lt;&gt;"",$B$14&lt;&gt;""),AND(G22&lt;&gt;"",$B$14&lt;&gt;"")),VLOOKUP($B$14,DADOS!$B$2:$C$499,2,TRUE),"")</f>
        <v/>
      </c>
      <c r="P22" s="259"/>
      <c r="Q22" s="152" t="str">
        <f>IF(F22&lt;&gt;"","IT 9.4.9.","")</f>
        <v/>
      </c>
      <c r="U22" s="41"/>
    </row>
    <row r="23" spans="1:21" ht="12.75" customHeight="1">
      <c r="A23" s="136"/>
      <c r="B23" s="140"/>
      <c r="C23" s="141"/>
      <c r="D23" s="137"/>
      <c r="E23" s="137"/>
      <c r="F23" s="150"/>
      <c r="G23" s="146"/>
      <c r="H23" s="146"/>
      <c r="I23" s="146"/>
      <c r="J23" s="146"/>
      <c r="K23" s="146"/>
      <c r="L23" s="147"/>
      <c r="M23" s="147"/>
      <c r="N23" s="147"/>
      <c r="O23" s="147"/>
      <c r="P23" s="260"/>
      <c r="Q23" s="153"/>
      <c r="U23" s="42"/>
    </row>
    <row r="24" spans="1:21" ht="12.75" customHeight="1">
      <c r="A24" s="136"/>
      <c r="B24" s="138"/>
      <c r="C24" s="139"/>
      <c r="D24" s="137"/>
      <c r="E24" s="137"/>
      <c r="F24" s="150" t="str">
        <f>IF(OR(G24&lt;&gt;"",I24&lt;&gt;""),$A$14&amp;"."&amp;(ROW(G24)-12)/2,"")</f>
        <v/>
      </c>
      <c r="G24" s="137"/>
      <c r="H24" s="137"/>
      <c r="I24" s="137"/>
      <c r="J24" s="137"/>
      <c r="K24" s="137"/>
      <c r="L24" s="146"/>
      <c r="M24" s="146" t="str">
        <f>IF(F24&lt;&gt;"",IF($B$14="SELEÇÃO RELÓGIO 100%",2,IF(B24="ENSAIO DTT",5,IF(OR(O24="R.I.F.",O24="R.I.R."),10,
                          IF(OR(RIGHT($B$14,4)="100%",$B$14="OLEAR COM ÓLEO PROTETIVO",$B$14="MAGNAFLUX",$B$14="DESEMPENAR"),"100%",
                          IF(OR(P24="C",P24="E"),4,IF(P24="D",6,2)))))),"")</f>
        <v/>
      </c>
      <c r="N24" s="146"/>
      <c r="O24" s="146" t="str">
        <f>IF(OR(AND(I24&lt;&gt;"",$B$14&lt;&gt;""),AND(G24&lt;&gt;"",$B$14&lt;&gt;"")),VLOOKUP($B$14,DADOS!$B$2:$C$499,2,TRUE),"")</f>
        <v/>
      </c>
      <c r="P24" s="259"/>
      <c r="Q24" s="152" t="str">
        <f>IF(F24&lt;&gt;"","IT 9.4.9.","")</f>
        <v/>
      </c>
      <c r="U24" s="41"/>
    </row>
    <row r="25" spans="1:21" ht="12.75" customHeight="1">
      <c r="A25" s="136"/>
      <c r="B25" s="140"/>
      <c r="C25" s="141"/>
      <c r="D25" s="137"/>
      <c r="E25" s="137"/>
      <c r="F25" s="150"/>
      <c r="G25" s="146"/>
      <c r="H25" s="146"/>
      <c r="I25" s="146"/>
      <c r="J25" s="146"/>
      <c r="K25" s="146"/>
      <c r="L25" s="147"/>
      <c r="M25" s="147"/>
      <c r="N25" s="147"/>
      <c r="O25" s="147"/>
      <c r="P25" s="260"/>
      <c r="Q25" s="153"/>
      <c r="U25" s="42"/>
    </row>
    <row r="26" spans="1:21" ht="12.75" customHeight="1">
      <c r="A26" s="136"/>
      <c r="B26" s="138"/>
      <c r="C26" s="139"/>
      <c r="D26" s="137"/>
      <c r="E26" s="137"/>
      <c r="F26" s="150" t="str">
        <f>IF(OR(G26&lt;&gt;"",I26&lt;&gt;""),$A$14&amp;"."&amp;(ROW(G26)-12)/2,"")</f>
        <v/>
      </c>
      <c r="G26" s="137"/>
      <c r="H26" s="137"/>
      <c r="I26" s="137"/>
      <c r="J26" s="137"/>
      <c r="K26" s="137"/>
      <c r="L26" s="146"/>
      <c r="M26" s="146" t="str">
        <f>IF(F26&lt;&gt;"",IF($B$14="SELEÇÃO RELÓGIO 100%",2,IF(B26="ENSAIO DTT",5,IF(OR(O26="R.I.F.",O26="R.I.R."),10,
                          IF(OR(RIGHT($B$14,4)="100%",$B$14="OLEAR COM ÓLEO PROTETIVO",$B$14="MAGNAFLUX",$B$14="DESEMPENAR"),"100%",
                          IF(OR(P26="C",P26="E"),4,IF(P26="D",6,2)))))),"")</f>
        <v/>
      </c>
      <c r="N26" s="146"/>
      <c r="O26" s="146" t="str">
        <f>IF(OR(AND(I26&lt;&gt;"",$B$14&lt;&gt;""),AND(G26&lt;&gt;"",$B$14&lt;&gt;"")),VLOOKUP($B$14,DADOS!$B$2:$C$499,2,TRUE),"")</f>
        <v/>
      </c>
      <c r="P26" s="259"/>
      <c r="Q26" s="152" t="str">
        <f>IF(F26&lt;&gt;"","IT 9.4.9.","")</f>
        <v/>
      </c>
      <c r="U26" s="41"/>
    </row>
    <row r="27" spans="1:21" ht="12.75" customHeight="1">
      <c r="A27" s="136"/>
      <c r="B27" s="140"/>
      <c r="C27" s="141"/>
      <c r="D27" s="137"/>
      <c r="E27" s="137"/>
      <c r="F27" s="150"/>
      <c r="G27" s="146"/>
      <c r="H27" s="146"/>
      <c r="I27" s="146"/>
      <c r="J27" s="146"/>
      <c r="K27" s="146"/>
      <c r="L27" s="147"/>
      <c r="M27" s="147"/>
      <c r="N27" s="147"/>
      <c r="O27" s="147"/>
      <c r="P27" s="260"/>
      <c r="Q27" s="153"/>
      <c r="U27" s="42"/>
    </row>
    <row r="28" spans="1:21" ht="12.75" customHeight="1">
      <c r="A28" s="136"/>
      <c r="B28" s="138"/>
      <c r="C28" s="139"/>
      <c r="D28" s="137"/>
      <c r="E28" s="137"/>
      <c r="F28" s="150" t="str">
        <f>IF(OR(G28&lt;&gt;"",I28&lt;&gt;""),$A$14&amp;"."&amp;(ROW(G28)-12)/2,"")</f>
        <v/>
      </c>
      <c r="G28" s="138"/>
      <c r="H28" s="139"/>
      <c r="I28" s="138"/>
      <c r="J28" s="139"/>
      <c r="K28" s="146"/>
      <c r="L28" s="146"/>
      <c r="M28" s="146" t="str">
        <f>IF(F28&lt;&gt;"",IF($B$14="SELEÇÃO RELÓGIO 100%",2,IF(B28="ENSAIO DTT",5,IF(OR(O28="R.I.F.",O28="R.I.R."),10,
                          IF(OR(RIGHT($B$14,4)="100%",$B$14="OLEAR COM ÓLEO PROTETIVO",$B$14="MAGNAFLUX",$B$14="DESEMPENAR"),"100%",
                          IF(OR(P28="C",P28="E"),4,IF(P28="D",6,2)))))),"")</f>
        <v/>
      </c>
      <c r="N28" s="146"/>
      <c r="O28" s="146" t="str">
        <f>IF(OR(AND(I28&lt;&gt;"",$B$14&lt;&gt;""),AND(G28&lt;&gt;"",$B$14&lt;&gt;"")),VLOOKUP($B$14,DADOS!$B$2:$C$499,2,TRUE),"")</f>
        <v/>
      </c>
      <c r="P28" s="259"/>
      <c r="Q28" s="152" t="str">
        <f>IF(F28&lt;&gt;"","IT 9.4.9.","")</f>
        <v/>
      </c>
      <c r="U28" s="41"/>
    </row>
    <row r="29" spans="1:21" ht="12.75" customHeight="1">
      <c r="A29" s="136"/>
      <c r="B29" s="140"/>
      <c r="C29" s="141"/>
      <c r="D29" s="137"/>
      <c r="E29" s="137"/>
      <c r="F29" s="150"/>
      <c r="G29" s="140"/>
      <c r="H29" s="141"/>
      <c r="I29" s="140"/>
      <c r="J29" s="141"/>
      <c r="K29" s="147"/>
      <c r="L29" s="147"/>
      <c r="M29" s="147"/>
      <c r="N29" s="147"/>
      <c r="O29" s="147"/>
      <c r="P29" s="260"/>
      <c r="Q29" s="153"/>
      <c r="U29" s="43"/>
    </row>
    <row r="30" spans="1:21" ht="12.75" customHeight="1">
      <c r="A30" s="136"/>
      <c r="B30" s="138"/>
      <c r="C30" s="139"/>
      <c r="D30" s="137"/>
      <c r="E30" s="137"/>
      <c r="F30" s="150" t="str">
        <f>IF(OR(G30&lt;&gt;"",I30&lt;&gt;""),$A$14&amp;"."&amp;(ROW(G30)-12)/2,"")</f>
        <v/>
      </c>
      <c r="G30" s="137"/>
      <c r="H30" s="137"/>
      <c r="I30" s="137"/>
      <c r="J30" s="137"/>
      <c r="K30" s="146"/>
      <c r="L30" s="146"/>
      <c r="M30" s="146" t="str">
        <f>IF(F30&lt;&gt;"",IF($B$14="SELEÇÃO RELÓGIO 100%",2,IF(B30="ENSAIO DTT",5,IF(OR(O30="R.I.F.",O30="R.I.R."),10,
                          IF(OR(RIGHT($B$14,4)="100%",$B$14="OLEAR COM ÓLEO PROTETIVO",$B$14="MAGNAFLUX",$B$14="DESEMPENAR"),"100%",
                          IF(OR(P30="C",P30="E"),4,IF(P30="D",6,2)))))),"")</f>
        <v/>
      </c>
      <c r="N30" s="146"/>
      <c r="O30" s="146" t="str">
        <f>IF(OR(AND(I30&lt;&gt;"",$B$14&lt;&gt;""),AND(G30&lt;&gt;"",$B$14&lt;&gt;"")),VLOOKUP($B$14,DADOS!$B$2:$C$499,2,TRUE),"")</f>
        <v/>
      </c>
      <c r="P30" s="259"/>
      <c r="Q30" s="152" t="str">
        <f>IF(F30&lt;&gt;"","IT 9.4.9.","")</f>
        <v/>
      </c>
      <c r="U30" s="43"/>
    </row>
    <row r="31" spans="1:21" ht="12.75" customHeight="1">
      <c r="A31" s="136"/>
      <c r="B31" s="140"/>
      <c r="C31" s="141"/>
      <c r="D31" s="137"/>
      <c r="E31" s="137"/>
      <c r="F31" s="150"/>
      <c r="G31" s="137"/>
      <c r="H31" s="137"/>
      <c r="I31" s="137"/>
      <c r="J31" s="137"/>
      <c r="K31" s="147"/>
      <c r="L31" s="147"/>
      <c r="M31" s="147"/>
      <c r="N31" s="147"/>
      <c r="O31" s="147"/>
      <c r="P31" s="260"/>
      <c r="Q31" s="153"/>
      <c r="U31" s="43"/>
    </row>
    <row r="32" spans="1:21" ht="12.75" customHeight="1">
      <c r="A32" s="136"/>
      <c r="B32" s="137"/>
      <c r="C32" s="137"/>
      <c r="D32" s="137"/>
      <c r="E32" s="137"/>
      <c r="F32" s="150" t="str">
        <f>IF(OR(G32&lt;&gt;"",I32&lt;&gt;""),$A$14&amp;"."&amp;(ROW(G32)-12)/2,"")</f>
        <v/>
      </c>
      <c r="G32" s="138"/>
      <c r="H32" s="139"/>
      <c r="I32" s="138"/>
      <c r="J32" s="139"/>
      <c r="K32" s="146"/>
      <c r="L32" s="146"/>
      <c r="M32" s="146" t="str">
        <f>IF(F32&lt;&gt;"",IF($B$14="SELEÇÃO RELÓGIO 100%",2,IF(B32="ENSAIO DTT",5,IF(OR(O32="R.I.F.",O32="R.I.R."),10,
                          IF(OR(RIGHT($B$14,4)="100%",$B$14="OLEAR COM ÓLEO PROTETIVO",$B$14="MAGNAFLUX",$B$14="DESEMPENAR"),"100%",
                          IF(OR(P32="C",P32="E"),4,IF(P32="D",6,2)))))),"")</f>
        <v/>
      </c>
      <c r="N32" s="146"/>
      <c r="O32" s="146" t="str">
        <f>IF(OR(AND(I32&lt;&gt;"",$B$14&lt;&gt;""),AND(G32&lt;&gt;"",$B$14&lt;&gt;"")),VLOOKUP($B$14,DADOS!$B$2:$C$499,2,TRUE),"")</f>
        <v/>
      </c>
      <c r="P32" s="259"/>
      <c r="Q32" s="152" t="str">
        <f>IF(F32&lt;&gt;"","IT 9.4.9.","")</f>
        <v/>
      </c>
    </row>
    <row r="33" spans="1:17" ht="12.75" customHeight="1">
      <c r="A33" s="136"/>
      <c r="B33" s="137"/>
      <c r="C33" s="137"/>
      <c r="D33" s="137"/>
      <c r="E33" s="137"/>
      <c r="F33" s="150"/>
      <c r="G33" s="140"/>
      <c r="H33" s="141"/>
      <c r="I33" s="140"/>
      <c r="J33" s="141"/>
      <c r="K33" s="147"/>
      <c r="L33" s="147"/>
      <c r="M33" s="147"/>
      <c r="N33" s="147"/>
      <c r="O33" s="147"/>
      <c r="P33" s="260"/>
      <c r="Q33" s="153"/>
    </row>
    <row r="34" spans="1:17" ht="12.75" customHeight="1">
      <c r="A34" s="136"/>
      <c r="B34" s="137"/>
      <c r="C34" s="137"/>
      <c r="D34" s="137"/>
      <c r="E34" s="137"/>
      <c r="F34" s="150" t="str">
        <f>IF(OR(G34&lt;&gt;"",I34&lt;&gt;""),$A$14&amp;"."&amp;(ROW(G34)-12)/2,"")</f>
        <v/>
      </c>
      <c r="G34" s="137"/>
      <c r="H34" s="137"/>
      <c r="I34" s="137"/>
      <c r="J34" s="137"/>
      <c r="K34" s="146"/>
      <c r="L34" s="146"/>
      <c r="M34" s="146" t="str">
        <f>IF(F34&lt;&gt;"",IF($B$14="SELEÇÃO RELÓGIO 100%",2,IF(B34="ENSAIO DTT",5,IF(OR(O34="R.I.F.",O34="R.I.R."),10,
                          IF(OR(RIGHT($B$14,4)="100%",$B$14="OLEAR COM ÓLEO PROTETIVO",$B$14="MAGNAFLUX",$B$14="DESEMPENAR"),"100%",
                          IF(OR(P34="C",P34="E"),4,IF(P34="D",6,2)))))),"")</f>
        <v/>
      </c>
      <c r="N34" s="146"/>
      <c r="O34" s="146" t="str">
        <f>IF(OR(AND(I34&lt;&gt;"",$B$14&lt;&gt;""),AND(G34&lt;&gt;"",$B$14&lt;&gt;"")),VLOOKUP($B$14,DADOS!$B$2:$C$499,2,TRUE),"")</f>
        <v/>
      </c>
      <c r="P34" s="259"/>
      <c r="Q34" s="152" t="str">
        <f>IF(F34&lt;&gt;"","IT 9.4.9.","")</f>
        <v/>
      </c>
    </row>
    <row r="35" spans="1:17" ht="12.75" customHeight="1">
      <c r="A35" s="136"/>
      <c r="B35" s="137"/>
      <c r="C35" s="137"/>
      <c r="D35" s="137"/>
      <c r="E35" s="137"/>
      <c r="F35" s="150"/>
      <c r="G35" s="137"/>
      <c r="H35" s="137"/>
      <c r="I35" s="137"/>
      <c r="J35" s="137"/>
      <c r="K35" s="147"/>
      <c r="L35" s="147"/>
      <c r="M35" s="147"/>
      <c r="N35" s="147"/>
      <c r="O35" s="147"/>
      <c r="P35" s="260"/>
      <c r="Q35" s="153"/>
    </row>
    <row r="36" spans="1:17" ht="12.75" customHeight="1">
      <c r="A36" s="136"/>
      <c r="B36" s="137"/>
      <c r="C36" s="137"/>
      <c r="D36" s="137"/>
      <c r="E36" s="137"/>
      <c r="F36" s="150" t="str">
        <f>IF(OR(G36&lt;&gt;"",I36&lt;&gt;""),$A$14&amp;"."&amp;(ROW(G36)-12)/2,"")</f>
        <v/>
      </c>
      <c r="G36" s="138"/>
      <c r="H36" s="139"/>
      <c r="I36" s="138"/>
      <c r="J36" s="139"/>
      <c r="K36" s="146"/>
      <c r="L36" s="146"/>
      <c r="M36" s="146" t="str">
        <f>IF(F36&lt;&gt;"",IF($B$14="SELEÇÃO RELÓGIO 100%",2,IF(B36="ENSAIO DTT",5,IF(OR(O36="R.I.F.",O36="R.I.R."),10,
                          IF(OR(RIGHT($B$14,4)="100%",$B$14="OLEAR COM ÓLEO PROTETIVO",$B$14="MAGNAFLUX",$B$14="DESEMPENAR"),"100%",
                          IF(OR(P36="C",P36="E"),4,IF(P36="D",6,2)))))),"")</f>
        <v/>
      </c>
      <c r="N36" s="146"/>
      <c r="O36" s="146" t="str">
        <f>IF(OR(AND(I36&lt;&gt;"",$B$14&lt;&gt;""),AND(G36&lt;&gt;"",$B$14&lt;&gt;"")),VLOOKUP($B$14,DADOS!$B$2:$C$499,2,TRUE),"")</f>
        <v/>
      </c>
      <c r="P36" s="259"/>
      <c r="Q36" s="152" t="str">
        <f>IF(F36&lt;&gt;"","IT 9.4.9.","")</f>
        <v/>
      </c>
    </row>
    <row r="37" spans="1:17" ht="12.75" customHeight="1">
      <c r="A37" s="136"/>
      <c r="B37" s="137"/>
      <c r="C37" s="137"/>
      <c r="D37" s="137"/>
      <c r="E37" s="137"/>
      <c r="F37" s="150"/>
      <c r="G37" s="140"/>
      <c r="H37" s="141"/>
      <c r="I37" s="140"/>
      <c r="J37" s="141"/>
      <c r="K37" s="147"/>
      <c r="L37" s="147"/>
      <c r="M37" s="147"/>
      <c r="N37" s="147"/>
      <c r="O37" s="147"/>
      <c r="P37" s="260"/>
      <c r="Q37" s="153"/>
    </row>
    <row r="38" spans="1:17" ht="12.75" customHeight="1">
      <c r="A38" s="136"/>
      <c r="B38" s="137"/>
      <c r="C38" s="137"/>
      <c r="D38" s="137"/>
      <c r="E38" s="137"/>
      <c r="F38" s="150" t="str">
        <f>IF(OR(G38&lt;&gt;"",I38&lt;&gt;""),$A$14&amp;"."&amp;(ROW(G38)-12)/2,"")</f>
        <v/>
      </c>
      <c r="G38" s="137"/>
      <c r="H38" s="137"/>
      <c r="I38" s="137"/>
      <c r="J38" s="137"/>
      <c r="K38" s="146"/>
      <c r="L38" s="146"/>
      <c r="M38" s="146" t="str">
        <f>IF(F38&lt;&gt;"",IF($B$14="SELEÇÃO RELÓGIO 100%",2,IF(B38="ENSAIO DTT",5,IF(OR(O38="R.I.F.",O38="R.I.R."),10,
                          IF(OR(RIGHT($B$14,4)="100%",$B$14="OLEAR COM ÓLEO PROTETIVO",$B$14="MAGNAFLUX",$B$14="DESEMPENAR"),"100%",
                          IF(OR(P38="C",P38="E"),4,IF(P38="D",6,2)))))),"")</f>
        <v/>
      </c>
      <c r="N38" s="146"/>
      <c r="O38" s="146" t="str">
        <f>IF(OR(AND(I38&lt;&gt;"",$B$14&lt;&gt;""),AND(G38&lt;&gt;"",$B$14&lt;&gt;"")),VLOOKUP($B$14,DADOS!$B$2:$C$499,2,TRUE),"")</f>
        <v/>
      </c>
      <c r="P38" s="259"/>
      <c r="Q38" s="152" t="str">
        <f>IF(F38&lt;&gt;"","IT 9.4.9.","")</f>
        <v/>
      </c>
    </row>
    <row r="39" spans="1:17" ht="12.75" customHeight="1">
      <c r="A39" s="136"/>
      <c r="B39" s="137"/>
      <c r="C39" s="137"/>
      <c r="D39" s="137"/>
      <c r="E39" s="137"/>
      <c r="F39" s="150"/>
      <c r="G39" s="137"/>
      <c r="H39" s="137"/>
      <c r="I39" s="137"/>
      <c r="J39" s="137"/>
      <c r="K39" s="147"/>
      <c r="L39" s="147"/>
      <c r="M39" s="147"/>
      <c r="N39" s="147"/>
      <c r="O39" s="147"/>
      <c r="P39" s="260"/>
      <c r="Q39" s="153"/>
    </row>
    <row r="40" spans="1:17" ht="12.75" customHeight="1">
      <c r="A40" s="136"/>
      <c r="B40" s="137"/>
      <c r="C40" s="137"/>
      <c r="D40" s="137"/>
      <c r="E40" s="137"/>
      <c r="F40" s="150" t="str">
        <f>IF(OR(G40&lt;&gt;"",I40&lt;&gt;""),$A$14&amp;"."&amp;(ROW(G40)-12)/2,"")</f>
        <v/>
      </c>
      <c r="G40" s="138"/>
      <c r="H40" s="139"/>
      <c r="I40" s="138"/>
      <c r="J40" s="139"/>
      <c r="K40" s="146"/>
      <c r="L40" s="146"/>
      <c r="M40" s="146" t="str">
        <f>IF(F40&lt;&gt;"",IF($B$14="SELEÇÃO RELÓGIO 100%",2,IF(B40="ENSAIO DTT",5,IF(OR(O40="R.I.F.",O40="R.I.R."),10,
                          IF(OR(RIGHT($B$14,4)="100%",$B$14="OLEAR COM ÓLEO PROTETIVO",$B$14="MAGNAFLUX",$B$14="DESEMPENAR"),"100%",
                          IF(OR(P40="C",P40="E"),4,IF(P40="D",6,2)))))),"")</f>
        <v/>
      </c>
      <c r="N40" s="146"/>
      <c r="O40" s="146" t="str">
        <f>IF(OR(AND(I40&lt;&gt;"",$B$14&lt;&gt;""),AND(G40&lt;&gt;"",$B$14&lt;&gt;"")),VLOOKUP($B$14,DADOS!$B$2:$C$499,2,TRUE),"")</f>
        <v/>
      </c>
      <c r="P40" s="259"/>
      <c r="Q40" s="152" t="str">
        <f>IF(F40&lt;&gt;"","IT 9.4.9.","")</f>
        <v/>
      </c>
    </row>
    <row r="41" spans="1:17" ht="12.75" customHeight="1">
      <c r="A41" s="136"/>
      <c r="B41" s="137"/>
      <c r="C41" s="137"/>
      <c r="D41" s="137"/>
      <c r="E41" s="137"/>
      <c r="F41" s="150"/>
      <c r="G41" s="140"/>
      <c r="H41" s="141"/>
      <c r="I41" s="140"/>
      <c r="J41" s="141"/>
      <c r="K41" s="147"/>
      <c r="L41" s="147"/>
      <c r="M41" s="147"/>
      <c r="N41" s="147"/>
      <c r="O41" s="147"/>
      <c r="P41" s="260"/>
      <c r="Q41" s="153"/>
    </row>
    <row r="42" spans="1:17" ht="12.75" customHeight="1">
      <c r="A42" s="136"/>
      <c r="B42" s="137"/>
      <c r="C42" s="137"/>
      <c r="D42" s="137"/>
      <c r="E42" s="137"/>
      <c r="F42" s="150" t="str">
        <f>IF(OR(G42&lt;&gt;"",I42&lt;&gt;""),$A$14&amp;"."&amp;(ROW(G42)-12)/2,"")</f>
        <v/>
      </c>
      <c r="G42" s="138"/>
      <c r="H42" s="139"/>
      <c r="I42" s="138"/>
      <c r="J42" s="139"/>
      <c r="K42" s="146"/>
      <c r="L42" s="146"/>
      <c r="M42" s="146" t="str">
        <f>IF(F42&lt;&gt;"",IF($B$14="SELEÇÃO RELÓGIO 100%",2,IF(B42="ENSAIO DTT",5,IF(OR(O42="R.I.F.",O42="R.I.R."),10,
                          IF(OR(RIGHT($B$14,4)="100%",$B$14="OLEAR COM ÓLEO PROTETIVO",$B$14="MAGNAFLUX",$B$14="DESEMPENAR"),"100%",
                          IF(OR(P42="C",P42="E"),4,IF(P42="D",6,2)))))),"")</f>
        <v/>
      </c>
      <c r="N42" s="146"/>
      <c r="O42" s="146" t="str">
        <f>IF(OR(AND(I42&lt;&gt;"",$B$14&lt;&gt;""),AND(G42&lt;&gt;"",$B$14&lt;&gt;"")),VLOOKUP($B$14,DADOS!$B$2:$C$499,2,TRUE),"")</f>
        <v/>
      </c>
      <c r="P42" s="259"/>
      <c r="Q42" s="152" t="str">
        <f>IF(F42&lt;&gt;"","IT 9.4.9.","")</f>
        <v/>
      </c>
    </row>
    <row r="43" spans="1:17" ht="12.75" customHeight="1">
      <c r="A43" s="136"/>
      <c r="B43" s="137"/>
      <c r="C43" s="137"/>
      <c r="D43" s="137"/>
      <c r="E43" s="137"/>
      <c r="F43" s="150"/>
      <c r="G43" s="140"/>
      <c r="H43" s="141"/>
      <c r="I43" s="140"/>
      <c r="J43" s="141"/>
      <c r="K43" s="147"/>
      <c r="L43" s="147"/>
      <c r="M43" s="147"/>
      <c r="N43" s="147"/>
      <c r="O43" s="147"/>
      <c r="P43" s="260"/>
      <c r="Q43" s="153"/>
    </row>
    <row r="44" spans="1:17" ht="12.75" customHeight="1">
      <c r="A44" s="163"/>
      <c r="B44" s="138"/>
      <c r="C44" s="139"/>
      <c r="D44" s="138"/>
      <c r="E44" s="139"/>
      <c r="F44" s="150" t="str">
        <f>IF(OR(G44&lt;&gt;"",I44&lt;&gt;""),$A$14&amp;"."&amp;(ROW(G44)-12)/2,"")</f>
        <v/>
      </c>
      <c r="G44" s="137"/>
      <c r="H44" s="137"/>
      <c r="I44" s="137"/>
      <c r="J44" s="137"/>
      <c r="K44" s="137"/>
      <c r="L44" s="146"/>
      <c r="M44" s="146" t="str">
        <f>IF(F44&lt;&gt;"",IF($B$14="SELEÇÃO RELÓGIO 100%",2,IF(B44="ENSAIO DTT",5,IF(OR(O44="R.I.F.",O44="R.I.R."),10,
                          IF(OR(RIGHT($B$14,4)="100%",$B$14="OLEAR COM ÓLEO PROTETIVO",$B$14="MAGNAFLUX",$B$14="DESEMPENAR"),"100%",
                          IF(OR(P44="C",P44="E"),4,IF(P44="D",6,2)))))),"")</f>
        <v/>
      </c>
      <c r="N44" s="146"/>
      <c r="O44" s="146" t="str">
        <f>IF(OR(AND(I44&lt;&gt;"",$B$14&lt;&gt;""),AND(G44&lt;&gt;"",$B$14&lt;&gt;"")),VLOOKUP($B$14,DADOS!$B$2:$C$499,2,TRUE),"")</f>
        <v/>
      </c>
      <c r="P44" s="259"/>
      <c r="Q44" s="152" t="str">
        <f>IF(F44&lt;&gt;"","IT 9.4.9.","")</f>
        <v/>
      </c>
    </row>
    <row r="45" spans="1:17" ht="12.75" customHeight="1">
      <c r="A45" s="261"/>
      <c r="B45" s="140"/>
      <c r="C45" s="141"/>
      <c r="D45" s="140"/>
      <c r="E45" s="141"/>
      <c r="F45" s="150"/>
      <c r="G45" s="146"/>
      <c r="H45" s="146"/>
      <c r="I45" s="146"/>
      <c r="J45" s="146"/>
      <c r="K45" s="146"/>
      <c r="L45" s="147"/>
      <c r="M45" s="147"/>
      <c r="N45" s="147"/>
      <c r="O45" s="147"/>
      <c r="P45" s="260"/>
      <c r="Q45" s="153"/>
    </row>
    <row r="46" spans="1:17" ht="12.75" customHeight="1">
      <c r="A46" s="163"/>
      <c r="B46" s="138"/>
      <c r="C46" s="139"/>
      <c r="D46" s="138"/>
      <c r="E46" s="139"/>
      <c r="F46" s="150" t="str">
        <f>IF(OR(G46&lt;&gt;"",I46&lt;&gt;""),$A$14&amp;"."&amp;(ROW(G46)-12)/2,"")</f>
        <v/>
      </c>
      <c r="G46" s="138"/>
      <c r="H46" s="139"/>
      <c r="I46" s="138"/>
      <c r="J46" s="139"/>
      <c r="K46" s="146"/>
      <c r="L46" s="146"/>
      <c r="M46" s="146" t="str">
        <f>IF(F46&lt;&gt;"",IF($B$14="SELEÇÃO RELÓGIO 100%",2,IF(B46="ENSAIO DTT",5,IF(OR(O46="R.I.F.",O46="R.I.R."),10,
                          IF(OR(RIGHT($B$14,4)="100%",$B$14="OLEAR COM ÓLEO PROTETIVO",$B$14="MAGNAFLUX",$B$14="DESEMPENAR"),"100%",
                          IF(OR(P46="C",P46="E"),4,IF(P46="D",6,2)))))),"")</f>
        <v/>
      </c>
      <c r="N46" s="146"/>
      <c r="O46" s="146" t="str">
        <f>IF(OR(AND(I46&lt;&gt;"",$B$14&lt;&gt;""),AND(G46&lt;&gt;"",$B$14&lt;&gt;"")),VLOOKUP($B$14,DADOS!$B$2:$C$499,2,TRUE),"")</f>
        <v/>
      </c>
      <c r="P46" s="259"/>
      <c r="Q46" s="152" t="str">
        <f>IF(F46&lt;&gt;"","IT 9.4.9.","")</f>
        <v/>
      </c>
    </row>
    <row r="47" spans="1:17" ht="12.75" customHeight="1">
      <c r="A47" s="261"/>
      <c r="B47" s="140"/>
      <c r="C47" s="141"/>
      <c r="D47" s="140"/>
      <c r="E47" s="141"/>
      <c r="F47" s="150"/>
      <c r="G47" s="140"/>
      <c r="H47" s="141"/>
      <c r="I47" s="140"/>
      <c r="J47" s="141"/>
      <c r="K47" s="147"/>
      <c r="L47" s="147"/>
      <c r="M47" s="147"/>
      <c r="N47" s="147"/>
      <c r="O47" s="147"/>
      <c r="P47" s="260"/>
      <c r="Q47" s="153"/>
    </row>
    <row r="48" spans="1:17" ht="12.75" customHeight="1">
      <c r="A48" s="136"/>
      <c r="B48" s="137"/>
      <c r="C48" s="137"/>
      <c r="D48" s="137"/>
      <c r="E48" s="137"/>
      <c r="F48" s="150" t="str">
        <f>IF(OR(G48&lt;&gt;"",I48&lt;&gt;""),$A$14&amp;"."&amp;(ROW(G48)-12)/2,"")</f>
        <v/>
      </c>
      <c r="G48" s="138"/>
      <c r="H48" s="139"/>
      <c r="I48" s="138"/>
      <c r="J48" s="139"/>
      <c r="K48" s="146"/>
      <c r="L48" s="146"/>
      <c r="M48" s="146" t="str">
        <f>IF(F48&lt;&gt;"",IF($B$14="SELEÇÃO RELÓGIO 100%",2,IF(B48="ENSAIO DTT",5,IF(OR(O48="R.I.F.",O48="R.I.R."),10,
                          IF(OR(RIGHT($B$14,4)="100%",$B$14="OLEAR COM ÓLEO PROTETIVO",$B$14="MAGNAFLUX",$B$14="DESEMPENAR"),"100%",
                          IF(OR(P48="C",P48="E"),4,IF(P48="D",6,2)))))),"")</f>
        <v/>
      </c>
      <c r="N48" s="146"/>
      <c r="O48" s="146" t="str">
        <f>IF(OR(AND(I48&lt;&gt;"",$B$14&lt;&gt;""),AND(G48&lt;&gt;"",$B$14&lt;&gt;"")),VLOOKUP($B$14,DADOS!$B$2:$C$499,2,TRUE),"")</f>
        <v/>
      </c>
      <c r="P48" s="259"/>
      <c r="Q48" s="152" t="str">
        <f>IF(F48&lt;&gt;"","IT 9.4.9.","")</f>
        <v/>
      </c>
    </row>
    <row r="49" spans="1:17" ht="12.75" customHeight="1">
      <c r="A49" s="163"/>
      <c r="B49" s="146"/>
      <c r="C49" s="146"/>
      <c r="D49" s="146"/>
      <c r="E49" s="146"/>
      <c r="F49" s="150"/>
      <c r="G49" s="140"/>
      <c r="H49" s="141"/>
      <c r="I49" s="140"/>
      <c r="J49" s="141"/>
      <c r="K49" s="147"/>
      <c r="L49" s="147"/>
      <c r="M49" s="147"/>
      <c r="N49" s="147"/>
      <c r="O49" s="147"/>
      <c r="P49" s="260"/>
      <c r="Q49" s="153"/>
    </row>
    <row r="50" spans="1:17" ht="12.75" customHeight="1">
      <c r="A50" s="136"/>
      <c r="B50" s="137"/>
      <c r="C50" s="137"/>
      <c r="D50" s="137"/>
      <c r="E50" s="137"/>
      <c r="F50" s="150" t="str">
        <f>IF(OR(G50&lt;&gt;"",I50&lt;&gt;""),$A$14&amp;"."&amp;(ROW(G50)-12)/2,"")</f>
        <v/>
      </c>
      <c r="G50" s="137"/>
      <c r="H50" s="137"/>
      <c r="I50" s="137"/>
      <c r="J50" s="137"/>
      <c r="K50" s="146"/>
      <c r="L50" s="146"/>
      <c r="M50" s="146" t="str">
        <f>IF(F50&lt;&gt;"",IF($B$14="SELEÇÃO RELÓGIO 100%",2,IF(B50="ENSAIO DTT",5,IF(OR(O50="R.I.F.",O50="R.I.R."),10,
                          IF(OR(RIGHT($B$14,4)="100%",$B$14="OLEAR COM ÓLEO PROTETIVO",$B$14="MAGNAFLUX",$B$14="DESEMPENAR"),"100%",
                          IF(OR(P50="C",P50="E"),4,IF(P50="D",6,2)))))),"")</f>
        <v/>
      </c>
      <c r="N50" s="146"/>
      <c r="O50" s="146" t="str">
        <f>IF(OR(AND(I50&lt;&gt;"",$B$14&lt;&gt;""),AND(G50&lt;&gt;"",$B$14&lt;&gt;"")),VLOOKUP($B$14,DADOS!$B$2:$C$499,2,TRUE),"")</f>
        <v/>
      </c>
      <c r="P50" s="259"/>
      <c r="Q50" s="152" t="str">
        <f>IF(F50&lt;&gt;"","IT 9.4.9.","")</f>
        <v/>
      </c>
    </row>
    <row r="51" spans="1:17" ht="12.75" customHeight="1">
      <c r="A51" s="163"/>
      <c r="B51" s="146"/>
      <c r="C51" s="146"/>
      <c r="D51" s="146"/>
      <c r="E51" s="146"/>
      <c r="F51" s="150"/>
      <c r="G51" s="146"/>
      <c r="H51" s="146"/>
      <c r="I51" s="146"/>
      <c r="J51" s="146"/>
      <c r="K51" s="147"/>
      <c r="L51" s="147"/>
      <c r="M51" s="147"/>
      <c r="N51" s="147"/>
      <c r="O51" s="147"/>
      <c r="P51" s="260"/>
      <c r="Q51" s="153"/>
    </row>
    <row r="52" spans="1:17" ht="12.75" customHeight="1">
      <c r="A52" s="136"/>
      <c r="B52" s="137"/>
      <c r="C52" s="137"/>
      <c r="D52" s="137"/>
      <c r="E52" s="137"/>
      <c r="F52" s="150" t="str">
        <f>IF(OR(G52&lt;&gt;"",I52&lt;&gt;""),$A$14&amp;"."&amp;(ROW(G52)-12)/2,"")</f>
        <v/>
      </c>
      <c r="G52" s="137"/>
      <c r="H52" s="137"/>
      <c r="I52" s="137"/>
      <c r="J52" s="137"/>
      <c r="K52" s="137"/>
      <c r="L52" s="146"/>
      <c r="M52" s="146" t="str">
        <f>IF(F52&lt;&gt;"",IF($B$14="SELEÇÃO RELÓGIO 100%",2,IF(B52="ENSAIO DTT",5,IF(OR(O52="R.I.F.",O52="R.I.R."),10,
                          IF(OR(RIGHT($B$14,4)="100%",$B$14="OLEAR COM ÓLEO PROTETIVO",$B$14="MAGNAFLUX",$B$14="DESEMPENAR"),"100%",
                          IF(OR(P52="C",P52="E"),4,IF(P52="D",6,2)))))),"")</f>
        <v/>
      </c>
      <c r="N52" s="146"/>
      <c r="O52" s="146" t="str">
        <f>IF(OR(AND(I52&lt;&gt;"",$B$14&lt;&gt;""),AND(G52&lt;&gt;"",$B$14&lt;&gt;"")),VLOOKUP($B$14,DADOS!$B$2:$C$499,2,TRUE),"")</f>
        <v/>
      </c>
      <c r="P52" s="259"/>
      <c r="Q52" s="152" t="str">
        <f>IF(F52&lt;&gt;"","IT 9.4.9.","")</f>
        <v/>
      </c>
    </row>
    <row r="53" spans="1:17" ht="12.75" customHeight="1">
      <c r="A53" s="163"/>
      <c r="B53" s="146"/>
      <c r="C53" s="146"/>
      <c r="D53" s="146"/>
      <c r="E53" s="146"/>
      <c r="F53" s="150"/>
      <c r="G53" s="146"/>
      <c r="H53" s="146"/>
      <c r="I53" s="146"/>
      <c r="J53" s="146"/>
      <c r="K53" s="146"/>
      <c r="L53" s="147"/>
      <c r="M53" s="147"/>
      <c r="N53" s="147"/>
      <c r="O53" s="147"/>
      <c r="P53" s="260"/>
      <c r="Q53" s="153"/>
    </row>
    <row r="54" spans="1:17" ht="12.75" customHeight="1">
      <c r="A54" s="136"/>
      <c r="B54" s="137"/>
      <c r="C54" s="137"/>
      <c r="D54" s="137"/>
      <c r="E54" s="137"/>
      <c r="F54" s="150" t="str">
        <f>IF(OR(G54&lt;&gt;"",I54&lt;&gt;""),$A$14&amp;"."&amp;(ROW(G54)-12)/2,"")</f>
        <v/>
      </c>
      <c r="G54" s="137"/>
      <c r="H54" s="137"/>
      <c r="I54" s="137"/>
      <c r="J54" s="137"/>
      <c r="K54" s="146"/>
      <c r="L54" s="137"/>
      <c r="M54" s="146" t="str">
        <f>IF(F54&lt;&gt;"",IF($B$14="SELEÇÃO RELÓGIO 100%",2,IF(B54="ENSAIO DTT",5,IF(OR(O54="R.I.F.",O54="R.I.R."),10,
                          IF(OR(RIGHT($B$14,4)="100%",$B$14="OLEAR COM ÓLEO PROTETIVO",$B$14="MAGNAFLUX",$B$14="DESEMPENAR"),"100%",
                          IF(OR(P54="C",P54="E"),4,IF(P54="D",6,2)))))),"")</f>
        <v/>
      </c>
      <c r="N54" s="146"/>
      <c r="O54" s="146" t="str">
        <f>IF(OR(AND(I54&lt;&gt;"",$B$14&lt;&gt;""),AND(G54&lt;&gt;"",$B$14&lt;&gt;"")),VLOOKUP($B$14,DADOS!$B$2:$C$499,2,TRUE),"")</f>
        <v/>
      </c>
      <c r="P54" s="259"/>
      <c r="Q54" s="152" t="str">
        <f>IF(F54&lt;&gt;"","IT 9.4.9.","")</f>
        <v/>
      </c>
    </row>
    <row r="55" spans="1:17" ht="12.75" customHeight="1">
      <c r="A55" s="136"/>
      <c r="B55" s="137"/>
      <c r="C55" s="137"/>
      <c r="D55" s="137"/>
      <c r="E55" s="137"/>
      <c r="F55" s="150"/>
      <c r="G55" s="137"/>
      <c r="H55" s="137"/>
      <c r="I55" s="137"/>
      <c r="J55" s="137"/>
      <c r="K55" s="147"/>
      <c r="L55" s="137"/>
      <c r="M55" s="147"/>
      <c r="N55" s="147"/>
      <c r="O55" s="147"/>
      <c r="P55" s="260"/>
      <c r="Q55" s="153"/>
    </row>
    <row r="56" spans="1:17" ht="12.75" customHeight="1">
      <c r="A56" s="136"/>
      <c r="B56" s="137"/>
      <c r="C56" s="137"/>
      <c r="D56" s="137"/>
      <c r="E56" s="137"/>
      <c r="F56" s="150" t="str">
        <f>IF(OR(G56&lt;&gt;"",I56&lt;&gt;""),$A$14&amp;"."&amp;(ROW(G56)-12)/2,"")</f>
        <v/>
      </c>
      <c r="G56" s="137"/>
      <c r="H56" s="137"/>
      <c r="I56" s="137"/>
      <c r="J56" s="137"/>
      <c r="K56" s="137"/>
      <c r="L56" s="137"/>
      <c r="M56" s="146" t="str">
        <f>IF(F56&lt;&gt;"",IF($B$14="SELEÇÃO RELÓGIO 100%",2,IF(B56="ENSAIO DTT",5,IF(OR(O56="R.I.F.",O56="R.I.R."),10,
                          IF(OR(RIGHT($B$14,4)="100%",$B$14="OLEAR COM ÓLEO PROTETIVO",$B$14="MAGNAFLUX",$B$14="DESEMPENAR"),"100%",
                          IF(OR(P56="C",P56="E"),4,IF(P56="D",6,2)))))),"")</f>
        <v/>
      </c>
      <c r="N56" s="146"/>
      <c r="O56" s="146" t="str">
        <f>IF(OR(AND(I56&lt;&gt;"",$B$14&lt;&gt;""),AND(G56&lt;&gt;"",$B$14&lt;&gt;"")),VLOOKUP($B$14,DADOS!$B$2:$C$499,2,TRUE),"")</f>
        <v/>
      </c>
      <c r="P56" s="259"/>
      <c r="Q56" s="152" t="str">
        <f>IF(F56&lt;&gt;"","IT 9.4.9.","")</f>
        <v/>
      </c>
    </row>
    <row r="57" spans="1:17" ht="13.5" customHeight="1">
      <c r="A57" s="136"/>
      <c r="B57" s="137"/>
      <c r="C57" s="137"/>
      <c r="D57" s="137"/>
      <c r="E57" s="137"/>
      <c r="F57" s="150"/>
      <c r="G57" s="137"/>
      <c r="H57" s="137"/>
      <c r="I57" s="137"/>
      <c r="J57" s="137"/>
      <c r="K57" s="137"/>
      <c r="L57" s="137"/>
      <c r="M57" s="147"/>
      <c r="N57" s="147"/>
      <c r="O57" s="147"/>
      <c r="P57" s="260"/>
      <c r="Q57" s="153"/>
    </row>
    <row r="58" spans="1:17" ht="12.75" customHeight="1">
      <c r="A58" s="136"/>
      <c r="B58" s="137"/>
      <c r="C58" s="137"/>
      <c r="D58" s="137"/>
      <c r="E58" s="137"/>
      <c r="F58" s="150" t="str">
        <f>IF(OR(G58&lt;&gt;"",I58&lt;&gt;""),$A$14&amp;"."&amp;(ROW(G58)-12)/2,"")</f>
        <v/>
      </c>
      <c r="G58" s="137"/>
      <c r="H58" s="137"/>
      <c r="I58" s="137"/>
      <c r="J58" s="137"/>
      <c r="K58" s="137"/>
      <c r="L58" s="137"/>
      <c r="M58" s="146" t="str">
        <f>IF(F58&lt;&gt;"",IF($B$14="SELEÇÃO RELÓGIO 100%",2,IF(B58="ENSAIO DTT",5,IF(OR(O58="R.I.F.",O58="R.I.R."),10,
                          IF(OR(RIGHT($B$14,4)="100%",$B$14="OLEAR COM ÓLEO PROTETIVO",$B$14="MAGNAFLUX",$B$14="DESEMPENAR"),"100%",
                          IF(OR(P58="C",P58="E"),4,IF(P58="D",6,2)))))),"")</f>
        <v/>
      </c>
      <c r="N58" s="146"/>
      <c r="O58" s="146" t="str">
        <f>IF(OR(AND(I58&lt;&gt;"",$B$14&lt;&gt;""),AND(G58&lt;&gt;"",$B$14&lt;&gt;"")),VLOOKUP($B$14,DADOS!$B$2:$C$499,2,TRUE),"")</f>
        <v/>
      </c>
      <c r="P58" s="259"/>
      <c r="Q58" s="152" t="str">
        <f>IF(F58&lt;&gt;"","IT 9.4.9.","")</f>
        <v/>
      </c>
    </row>
    <row r="59" spans="1:17" ht="13.5" customHeight="1" thickBot="1">
      <c r="A59" s="136"/>
      <c r="B59" s="137"/>
      <c r="C59" s="137"/>
      <c r="D59" s="137"/>
      <c r="E59" s="137"/>
      <c r="F59" s="150"/>
      <c r="G59" s="137"/>
      <c r="H59" s="137"/>
      <c r="I59" s="137"/>
      <c r="J59" s="137"/>
      <c r="K59" s="137"/>
      <c r="L59" s="137"/>
      <c r="M59" s="147"/>
      <c r="N59" s="147"/>
      <c r="O59" s="147"/>
      <c r="P59" s="260"/>
      <c r="Q59" s="153"/>
    </row>
    <row r="60" spans="1:17" ht="12.75" customHeight="1">
      <c r="A60" s="295" t="s">
        <v>53</v>
      </c>
      <c r="B60" s="296"/>
      <c r="C60" s="296"/>
      <c r="D60" s="296"/>
      <c r="E60" s="297"/>
      <c r="F60" s="150" t="str">
        <f>IF(OR(G60&lt;&gt;"",I60&lt;&gt;""),$A$14&amp;"."&amp;(ROW(G60)-12)/2,"")</f>
        <v/>
      </c>
      <c r="G60" s="137"/>
      <c r="H60" s="137"/>
      <c r="I60" s="137"/>
      <c r="J60" s="137"/>
      <c r="K60" s="137"/>
      <c r="L60" s="137"/>
      <c r="M60" s="146" t="str">
        <f>IF(F60&lt;&gt;"",IF($B$14="SELEÇÃO RELÓGIO 100%",2,IF(B60="ENSAIO DTT",5,IF(OR(O60="R.I.F.",O60="R.I.R."),10,
                          IF(OR(RIGHT($B$14,4)="100%",$B$14="OLEAR COM ÓLEO PROTETIVO",$B$14="MAGNAFLUX",$B$14="DESEMPENAR"),"100%",
                          IF(OR(P60="C",P60="E"),4,IF(P60="D",6,2)))))),"")</f>
        <v/>
      </c>
      <c r="N60" s="146"/>
      <c r="O60" s="146" t="str">
        <f>IF(OR(AND(I60&lt;&gt;"",$B$14&lt;&gt;""),AND(G60&lt;&gt;"",$B$14&lt;&gt;"")),VLOOKUP($B$14,DADOS!$B$2:$C$499,2,TRUE),"")</f>
        <v/>
      </c>
      <c r="P60" s="259"/>
      <c r="Q60" s="152" t="str">
        <f>IF(F60&lt;&gt;"","IT 9.4.9.","")</f>
        <v/>
      </c>
    </row>
    <row r="61" spans="1:17" ht="12.75" customHeight="1">
      <c r="A61" s="298"/>
      <c r="B61" s="299"/>
      <c r="C61" s="299"/>
      <c r="D61" s="299"/>
      <c r="E61" s="300"/>
      <c r="F61" s="150"/>
      <c r="G61" s="137"/>
      <c r="H61" s="137"/>
      <c r="I61" s="137"/>
      <c r="J61" s="137"/>
      <c r="K61" s="137"/>
      <c r="L61" s="137"/>
      <c r="M61" s="147"/>
      <c r="N61" s="147"/>
      <c r="O61" s="147"/>
      <c r="P61" s="260"/>
      <c r="Q61" s="153"/>
    </row>
    <row r="62" spans="1:17" ht="15.75" customHeight="1">
      <c r="A62" s="37" t="s">
        <v>43</v>
      </c>
      <c r="B62" s="290" t="s">
        <v>54</v>
      </c>
      <c r="C62" s="291"/>
      <c r="D62" s="291"/>
      <c r="E62" s="292"/>
      <c r="F62" s="150" t="str">
        <f>IF(OR(G62&lt;&gt;"",I62&lt;&gt;""),$A$14&amp;"."&amp;(ROW(G62)-12)/2,"")</f>
        <v/>
      </c>
      <c r="G62" s="137"/>
      <c r="H62" s="137"/>
      <c r="I62" s="137"/>
      <c r="J62" s="137"/>
      <c r="K62" s="137"/>
      <c r="L62" s="137"/>
      <c r="M62" s="146" t="str">
        <f>IF(F62&lt;&gt;"",IF($B$14="SELEÇÃO RELÓGIO 100%",2,IF(B62="ENSAIO DTT",5,IF(OR(O62="R.I.F.",O62="R.I.R."),10,
                          IF(OR(RIGHT($B$14,4)="100%",$B$14="OLEAR COM ÓLEO PROTETIVO",$B$14="MAGNAFLUX",$B$14="DESEMPENAR"),"100%",
                          IF(OR(P62="C",P62="E"),4,IF(P62="D",6,2)))))),"")</f>
        <v/>
      </c>
      <c r="N62" s="146"/>
      <c r="O62" s="146" t="str">
        <f>IF(OR(AND(I62&lt;&gt;"",$B$14&lt;&gt;""),AND(G62&lt;&gt;"",$B$14&lt;&gt;"")),VLOOKUP($B$14,DADOS!$B$2:$C$499,2,TRUE),"")</f>
        <v/>
      </c>
      <c r="P62" s="259"/>
      <c r="Q62" s="152" t="str">
        <f>IF(F62&lt;&gt;"","IT 9.4.9.","")</f>
        <v/>
      </c>
    </row>
    <row r="63" spans="1:17" ht="15.75" customHeight="1">
      <c r="A63" s="37" t="s">
        <v>55</v>
      </c>
      <c r="B63" s="290" t="s">
        <v>56</v>
      </c>
      <c r="C63" s="291"/>
      <c r="D63" s="291"/>
      <c r="E63" s="292"/>
      <c r="F63" s="150"/>
      <c r="G63" s="137"/>
      <c r="H63" s="137"/>
      <c r="I63" s="137"/>
      <c r="J63" s="137"/>
      <c r="K63" s="137"/>
      <c r="L63" s="137"/>
      <c r="M63" s="147"/>
      <c r="N63" s="147"/>
      <c r="O63" s="147"/>
      <c r="P63" s="260"/>
      <c r="Q63" s="153"/>
    </row>
    <row r="64" spans="1:17" ht="15.75" customHeight="1">
      <c r="A64" s="37" t="s">
        <v>52</v>
      </c>
      <c r="B64" s="290" t="s">
        <v>57</v>
      </c>
      <c r="C64" s="291"/>
      <c r="D64" s="291"/>
      <c r="E64" s="292"/>
      <c r="F64" s="293" t="str">
        <f>IF(OR(G64&lt;&gt;"",I64&lt;&gt;""),$A$14&amp;"."&amp;(ROW(G64)-12)/2,"")</f>
        <v/>
      </c>
      <c r="G64" s="137"/>
      <c r="H64" s="137"/>
      <c r="I64" s="137"/>
      <c r="J64" s="137"/>
      <c r="K64" s="137"/>
      <c r="L64" s="137"/>
      <c r="M64" s="146" t="str">
        <f>IF(F64&lt;&gt;"",IF($B$14="SELEÇÃO RELÓGIO 100%",2,IF(B64="ENSAIO DTT",5,IF(OR(O64="R.I.F.",O64="R.I.R."),10,
                          IF(OR(RIGHT($B$14,4)="100%",$B$14="OLEAR COM ÓLEO PROTETIVO",$B$14="MAGNAFLUX",$B$14="DESEMPENAR"),"100%",
                          IF(OR(P64="C",P64="E"),4,IF(P64="D",6,2)))))),"")</f>
        <v/>
      </c>
      <c r="N64" s="146"/>
      <c r="O64" s="146" t="str">
        <f>IF(OR(AND(I64&lt;&gt;"",$B$14&lt;&gt;""),AND(G64&lt;&gt;"",$B$14&lt;&gt;"")),VLOOKUP($B$14,DADOS!$B$2:$C$499,2,TRUE),"")</f>
        <v/>
      </c>
      <c r="P64" s="303"/>
      <c r="Q64" s="152" t="str">
        <f>IF(F64&lt;&gt;"","IT 9.4.9.","")</f>
        <v/>
      </c>
    </row>
    <row r="65" spans="1:17" ht="13.5" customHeight="1" thickBot="1">
      <c r="A65" s="7"/>
      <c r="B65" s="8"/>
      <c r="C65" s="8"/>
      <c r="D65" s="8"/>
      <c r="E65" s="9"/>
      <c r="F65" s="294"/>
      <c r="G65" s="151"/>
      <c r="H65" s="151"/>
      <c r="I65" s="151"/>
      <c r="J65" s="151"/>
      <c r="K65" s="151"/>
      <c r="L65" s="151"/>
      <c r="M65" s="147"/>
      <c r="N65" s="301"/>
      <c r="O65" s="147"/>
      <c r="P65" s="304"/>
      <c r="Q65" s="302"/>
    </row>
  </sheetData>
  <sheetProtection sheet="1" scenarios="1" formatCells="0" formatRows="0" insertRows="0" insertHyperlinks="0" deleteRows="0"/>
  <protectedRanges>
    <protectedRange sqref="Q4" name="Intervalo3"/>
    <protectedRange sqref="A14:E17 G14:Q15 D56:E57 G16:L63 N16:N63 M16:M65 P16:P63 O16:O65 Q16:Q65" name="Intervalo1"/>
    <protectedRange sqref="A20:E45" name="Intervalo2"/>
  </protectedRanges>
  <dataConsolidate/>
  <mergeCells count="379">
    <mergeCell ref="A1:Q2"/>
    <mergeCell ref="A3:B3"/>
    <mergeCell ref="D3:F3"/>
    <mergeCell ref="G3:H3"/>
    <mergeCell ref="I3:I4"/>
    <mergeCell ref="J3:K4"/>
    <mergeCell ref="L3:L4"/>
    <mergeCell ref="M3:N4"/>
    <mergeCell ref="O3:O4"/>
    <mergeCell ref="P3:P4"/>
    <mergeCell ref="M5:P5"/>
    <mergeCell ref="A6:B6"/>
    <mergeCell ref="C6:H6"/>
    <mergeCell ref="I6:L6"/>
    <mergeCell ref="M6:P6"/>
    <mergeCell ref="A7:P7"/>
    <mergeCell ref="A4:B4"/>
    <mergeCell ref="D4:F4"/>
    <mergeCell ref="G4:H4"/>
    <mergeCell ref="A5:B5"/>
    <mergeCell ref="C5:H5"/>
    <mergeCell ref="I5:L5"/>
    <mergeCell ref="A11:B11"/>
    <mergeCell ref="D11:E11"/>
    <mergeCell ref="F11:G11"/>
    <mergeCell ref="H11:J11"/>
    <mergeCell ref="K11:L11"/>
    <mergeCell ref="M11:O11"/>
    <mergeCell ref="A8:P8"/>
    <mergeCell ref="A9:G9"/>
    <mergeCell ref="H9:Q9"/>
    <mergeCell ref="A10:B10"/>
    <mergeCell ref="D10:E10"/>
    <mergeCell ref="F10:G10"/>
    <mergeCell ref="H10:J10"/>
    <mergeCell ref="K10:L10"/>
    <mergeCell ref="M10:O10"/>
    <mergeCell ref="A14:A15"/>
    <mergeCell ref="B14:C15"/>
    <mergeCell ref="D14:E15"/>
    <mergeCell ref="F14:F15"/>
    <mergeCell ref="G14:H15"/>
    <mergeCell ref="I14:J15"/>
    <mergeCell ref="K14:K15"/>
    <mergeCell ref="A12:A13"/>
    <mergeCell ref="B12:C13"/>
    <mergeCell ref="D12:E13"/>
    <mergeCell ref="F12:J12"/>
    <mergeCell ref="K12:O12"/>
    <mergeCell ref="L14:L15"/>
    <mergeCell ref="M14:M15"/>
    <mergeCell ref="N14:N15"/>
    <mergeCell ref="O14:O15"/>
    <mergeCell ref="P14:P15"/>
    <mergeCell ref="Q14:Q15"/>
    <mergeCell ref="Q12:Q13"/>
    <mergeCell ref="G13:H13"/>
    <mergeCell ref="I13:J13"/>
    <mergeCell ref="P12:P13"/>
    <mergeCell ref="Q16:Q17"/>
    <mergeCell ref="A18:A19"/>
    <mergeCell ref="B18:C19"/>
    <mergeCell ref="D18:E19"/>
    <mergeCell ref="F18:F19"/>
    <mergeCell ref="G18:H19"/>
    <mergeCell ref="I18:J19"/>
    <mergeCell ref="K18:K19"/>
    <mergeCell ref="L18:L19"/>
    <mergeCell ref="M18:M19"/>
    <mergeCell ref="K16:K17"/>
    <mergeCell ref="L16:L17"/>
    <mergeCell ref="M16:M17"/>
    <mergeCell ref="N16:N17"/>
    <mergeCell ref="O16:O17"/>
    <mergeCell ref="P16:P17"/>
    <mergeCell ref="A16:A17"/>
    <mergeCell ref="B16:C17"/>
    <mergeCell ref="D16:E17"/>
    <mergeCell ref="F16:F17"/>
    <mergeCell ref="G16:H17"/>
    <mergeCell ref="I16:J17"/>
    <mergeCell ref="N18:N19"/>
    <mergeCell ref="O18:O19"/>
    <mergeCell ref="P18:P19"/>
    <mergeCell ref="Q18:Q19"/>
    <mergeCell ref="A20:A21"/>
    <mergeCell ref="B20:C21"/>
    <mergeCell ref="D20:E21"/>
    <mergeCell ref="F20:F21"/>
    <mergeCell ref="G20:H21"/>
    <mergeCell ref="I20:J21"/>
    <mergeCell ref="A24:A25"/>
    <mergeCell ref="D24:E25"/>
    <mergeCell ref="F24:F25"/>
    <mergeCell ref="G24:H25"/>
    <mergeCell ref="I24:J25"/>
    <mergeCell ref="K24:K25"/>
    <mergeCell ref="Q20:Q21"/>
    <mergeCell ref="A22:A23"/>
    <mergeCell ref="D22:E23"/>
    <mergeCell ref="F22:F23"/>
    <mergeCell ref="G22:H23"/>
    <mergeCell ref="I22:J23"/>
    <mergeCell ref="K22:K23"/>
    <mergeCell ref="L22:L23"/>
    <mergeCell ref="M22:M23"/>
    <mergeCell ref="K20:K21"/>
    <mergeCell ref="L20:L21"/>
    <mergeCell ref="M20:M21"/>
    <mergeCell ref="N20:N21"/>
    <mergeCell ref="O20:O21"/>
    <mergeCell ref="P20:P21"/>
    <mergeCell ref="B22:C23"/>
    <mergeCell ref="B24:C25"/>
    <mergeCell ref="L24:L25"/>
    <mergeCell ref="M24:M25"/>
    <mergeCell ref="N24:N25"/>
    <mergeCell ref="O24:O25"/>
    <mergeCell ref="P24:P25"/>
    <mergeCell ref="Q24:Q25"/>
    <mergeCell ref="N22:N23"/>
    <mergeCell ref="O22:O23"/>
    <mergeCell ref="P22:P23"/>
    <mergeCell ref="Q22:Q23"/>
    <mergeCell ref="L26:L27"/>
    <mergeCell ref="M26:M27"/>
    <mergeCell ref="N26:N27"/>
    <mergeCell ref="O26:O27"/>
    <mergeCell ref="P26:P27"/>
    <mergeCell ref="Q26:Q27"/>
    <mergeCell ref="A26:A27"/>
    <mergeCell ref="D26:E27"/>
    <mergeCell ref="F26:F27"/>
    <mergeCell ref="G26:H27"/>
    <mergeCell ref="I26:J27"/>
    <mergeCell ref="K26:K27"/>
    <mergeCell ref="B26:C27"/>
    <mergeCell ref="L28:L29"/>
    <mergeCell ref="M28:M29"/>
    <mergeCell ref="N28:N29"/>
    <mergeCell ref="O28:O29"/>
    <mergeCell ref="P28:P29"/>
    <mergeCell ref="Q28:Q29"/>
    <mergeCell ref="A28:A29"/>
    <mergeCell ref="D28:E29"/>
    <mergeCell ref="F28:F29"/>
    <mergeCell ref="G28:H29"/>
    <mergeCell ref="I28:J29"/>
    <mergeCell ref="K28:K29"/>
    <mergeCell ref="B28:C29"/>
    <mergeCell ref="L30:L31"/>
    <mergeCell ref="M30:M31"/>
    <mergeCell ref="N30:N31"/>
    <mergeCell ref="O30:O31"/>
    <mergeCell ref="P30:P31"/>
    <mergeCell ref="Q30:Q31"/>
    <mergeCell ref="A30:A31"/>
    <mergeCell ref="D30:E31"/>
    <mergeCell ref="F30:F31"/>
    <mergeCell ref="G30:H31"/>
    <mergeCell ref="I30:J31"/>
    <mergeCell ref="K30:K31"/>
    <mergeCell ref="B30:C31"/>
    <mergeCell ref="Q32:Q33"/>
    <mergeCell ref="A34:A35"/>
    <mergeCell ref="B34:C35"/>
    <mergeCell ref="D34:E35"/>
    <mergeCell ref="F34:F35"/>
    <mergeCell ref="G34:H35"/>
    <mergeCell ref="I34:J35"/>
    <mergeCell ref="K34:K35"/>
    <mergeCell ref="L34:L35"/>
    <mergeCell ref="M34:M35"/>
    <mergeCell ref="K32:K33"/>
    <mergeCell ref="L32:L33"/>
    <mergeCell ref="M32:M33"/>
    <mergeCell ref="N32:N33"/>
    <mergeCell ref="O32:O33"/>
    <mergeCell ref="P32:P33"/>
    <mergeCell ref="A32:A33"/>
    <mergeCell ref="B32:C33"/>
    <mergeCell ref="D32:E33"/>
    <mergeCell ref="F32:F33"/>
    <mergeCell ref="G32:H33"/>
    <mergeCell ref="I32:J33"/>
    <mergeCell ref="N34:N35"/>
    <mergeCell ref="O34:O35"/>
    <mergeCell ref="L38:L39"/>
    <mergeCell ref="M38:M39"/>
    <mergeCell ref="P34:P35"/>
    <mergeCell ref="Q34:Q35"/>
    <mergeCell ref="A36:A37"/>
    <mergeCell ref="B36:C37"/>
    <mergeCell ref="D36:E37"/>
    <mergeCell ref="F36:F37"/>
    <mergeCell ref="G36:H37"/>
    <mergeCell ref="I36:J37"/>
    <mergeCell ref="Q36:Q37"/>
    <mergeCell ref="K36:K37"/>
    <mergeCell ref="L36:L37"/>
    <mergeCell ref="M36:M37"/>
    <mergeCell ref="N36:N37"/>
    <mergeCell ref="O36:O37"/>
    <mergeCell ref="P36:P37"/>
    <mergeCell ref="N38:N39"/>
    <mergeCell ref="O38:O39"/>
    <mergeCell ref="P38:P39"/>
    <mergeCell ref="Q38:Q39"/>
    <mergeCell ref="A38:A39"/>
    <mergeCell ref="B38:C39"/>
    <mergeCell ref="D38:E39"/>
    <mergeCell ref="A40:A41"/>
    <mergeCell ref="B40:C41"/>
    <mergeCell ref="D40:E41"/>
    <mergeCell ref="F40:F41"/>
    <mergeCell ref="G40:H41"/>
    <mergeCell ref="I40:J41"/>
    <mergeCell ref="Q40:Q41"/>
    <mergeCell ref="K40:K41"/>
    <mergeCell ref="L40:L41"/>
    <mergeCell ref="M40:M41"/>
    <mergeCell ref="N40:N41"/>
    <mergeCell ref="O40:O41"/>
    <mergeCell ref="P40:P41"/>
    <mergeCell ref="F38:F39"/>
    <mergeCell ref="G38:H39"/>
    <mergeCell ref="I38:J39"/>
    <mergeCell ref="K38:K39"/>
    <mergeCell ref="Q42:Q43"/>
    <mergeCell ref="A44:A45"/>
    <mergeCell ref="B44:C45"/>
    <mergeCell ref="D44:E45"/>
    <mergeCell ref="F44:F45"/>
    <mergeCell ref="G44:H45"/>
    <mergeCell ref="I44:J45"/>
    <mergeCell ref="Q44:Q45"/>
    <mergeCell ref="K44:K45"/>
    <mergeCell ref="L44:L45"/>
    <mergeCell ref="M44:M45"/>
    <mergeCell ref="N44:N45"/>
    <mergeCell ref="O44:O45"/>
    <mergeCell ref="P44:P45"/>
    <mergeCell ref="A42:A43"/>
    <mergeCell ref="B42:C43"/>
    <mergeCell ref="D42:E43"/>
    <mergeCell ref="F42:F43"/>
    <mergeCell ref="G42:H43"/>
    <mergeCell ref="I42:J43"/>
    <mergeCell ref="N42:N43"/>
    <mergeCell ref="O42:O43"/>
    <mergeCell ref="P42:P43"/>
    <mergeCell ref="I50:J51"/>
    <mergeCell ref="K50:K51"/>
    <mergeCell ref="L50:L51"/>
    <mergeCell ref="M50:M51"/>
    <mergeCell ref="N46:N47"/>
    <mergeCell ref="O46:O47"/>
    <mergeCell ref="P46:P47"/>
    <mergeCell ref="K42:K43"/>
    <mergeCell ref="L42:L43"/>
    <mergeCell ref="M42:M43"/>
    <mergeCell ref="I46:J47"/>
    <mergeCell ref="K46:K47"/>
    <mergeCell ref="L46:L47"/>
    <mergeCell ref="M46:M47"/>
    <mergeCell ref="Q46:Q47"/>
    <mergeCell ref="A48:A49"/>
    <mergeCell ref="B48:C49"/>
    <mergeCell ref="D48:E49"/>
    <mergeCell ref="F48:F49"/>
    <mergeCell ref="G48:H49"/>
    <mergeCell ref="I48:J49"/>
    <mergeCell ref="Q48:Q49"/>
    <mergeCell ref="K48:K49"/>
    <mergeCell ref="L48:L49"/>
    <mergeCell ref="M48:M49"/>
    <mergeCell ref="N48:N49"/>
    <mergeCell ref="O48:O49"/>
    <mergeCell ref="P48:P49"/>
    <mergeCell ref="A46:A47"/>
    <mergeCell ref="B46:C47"/>
    <mergeCell ref="D46:E47"/>
    <mergeCell ref="F46:F47"/>
    <mergeCell ref="G46:H47"/>
    <mergeCell ref="L54:L55"/>
    <mergeCell ref="M54:M55"/>
    <mergeCell ref="N50:N51"/>
    <mergeCell ref="O50:O51"/>
    <mergeCell ref="P50:P51"/>
    <mergeCell ref="Q50:Q51"/>
    <mergeCell ref="A52:A53"/>
    <mergeCell ref="B52:C53"/>
    <mergeCell ref="D52:E53"/>
    <mergeCell ref="F52:F53"/>
    <mergeCell ref="G52:H53"/>
    <mergeCell ref="I52:J53"/>
    <mergeCell ref="Q52:Q53"/>
    <mergeCell ref="K52:K53"/>
    <mergeCell ref="L52:L53"/>
    <mergeCell ref="M52:M53"/>
    <mergeCell ref="N52:N53"/>
    <mergeCell ref="O52:O53"/>
    <mergeCell ref="P52:P53"/>
    <mergeCell ref="A50:A51"/>
    <mergeCell ref="B50:C51"/>
    <mergeCell ref="D50:E51"/>
    <mergeCell ref="F50:F51"/>
    <mergeCell ref="G50:H51"/>
    <mergeCell ref="N54:N55"/>
    <mergeCell ref="O54:O55"/>
    <mergeCell ref="P54:P55"/>
    <mergeCell ref="Q54:Q55"/>
    <mergeCell ref="A56:A57"/>
    <mergeCell ref="B56:C57"/>
    <mergeCell ref="D56:E57"/>
    <mergeCell ref="F56:F57"/>
    <mergeCell ref="G56:H57"/>
    <mergeCell ref="I56:J57"/>
    <mergeCell ref="Q56:Q57"/>
    <mergeCell ref="K56:K57"/>
    <mergeCell ref="L56:L57"/>
    <mergeCell ref="M56:M57"/>
    <mergeCell ref="N56:N57"/>
    <mergeCell ref="O56:O57"/>
    <mergeCell ref="P56:P57"/>
    <mergeCell ref="A54:A55"/>
    <mergeCell ref="B54:C55"/>
    <mergeCell ref="D54:E55"/>
    <mergeCell ref="F54:F55"/>
    <mergeCell ref="G54:H55"/>
    <mergeCell ref="I54:J55"/>
    <mergeCell ref="K54:K55"/>
    <mergeCell ref="N58:N59"/>
    <mergeCell ref="O58:O59"/>
    <mergeCell ref="P58:P59"/>
    <mergeCell ref="Q58:Q59"/>
    <mergeCell ref="A60:E61"/>
    <mergeCell ref="F60:F61"/>
    <mergeCell ref="G60:H61"/>
    <mergeCell ref="I60:J61"/>
    <mergeCell ref="K60:K61"/>
    <mergeCell ref="L60:L61"/>
    <mergeCell ref="M60:M61"/>
    <mergeCell ref="N60:N61"/>
    <mergeCell ref="O60:O61"/>
    <mergeCell ref="P60:P61"/>
    <mergeCell ref="Q60:Q61"/>
    <mergeCell ref="A58:A59"/>
    <mergeCell ref="B58:C59"/>
    <mergeCell ref="D58:E59"/>
    <mergeCell ref="F58:F59"/>
    <mergeCell ref="G58:H59"/>
    <mergeCell ref="I58:J59"/>
    <mergeCell ref="K58:K59"/>
    <mergeCell ref="L58:L59"/>
    <mergeCell ref="M58:M59"/>
    <mergeCell ref="P64:P65"/>
    <mergeCell ref="Q64:Q65"/>
    <mergeCell ref="B63:E63"/>
    <mergeCell ref="B64:E64"/>
    <mergeCell ref="F64:F65"/>
    <mergeCell ref="G64:H65"/>
    <mergeCell ref="I64:J65"/>
    <mergeCell ref="K64:K65"/>
    <mergeCell ref="L62:L63"/>
    <mergeCell ref="M62:M63"/>
    <mergeCell ref="N62:N63"/>
    <mergeCell ref="O62:O63"/>
    <mergeCell ref="P62:P63"/>
    <mergeCell ref="Q62:Q63"/>
    <mergeCell ref="B62:E62"/>
    <mergeCell ref="F62:F63"/>
    <mergeCell ref="G62:H63"/>
    <mergeCell ref="I62:J63"/>
    <mergeCell ref="K62:K63"/>
    <mergeCell ref="L64:L65"/>
    <mergeCell ref="M64:M65"/>
    <mergeCell ref="N64:N65"/>
    <mergeCell ref="O64:O65"/>
  </mergeCells>
  <conditionalFormatting sqref="D4:F4">
    <cfRule type="cellIs" dxfId="18" priority="2" stopIfTrue="1" operator="equal">
      <formula>0</formula>
    </cfRule>
  </conditionalFormatting>
  <conditionalFormatting sqref="A14:A15">
    <cfRule type="expression" dxfId="17" priority="1">
      <formula>$A$14=""</formula>
    </cfRule>
  </conditionalFormatting>
  <printOptions horizontalCentered="1" verticalCentered="1"/>
  <pageMargins left="0.19685039370078741" right="0.19685039370078741" top="0.23622047244094488" bottom="0.15748031496062992" header="0" footer="0.15748031496062992"/>
  <pageSetup paperSize="9" scale="68" orientation="landscape" r:id="rId1"/>
  <headerFooter alignWithMargins="0">
    <oddFooter>&amp;LForm152- Rev 05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DADOS!$A$2:$A$4</xm:f>
          </x14:formula1>
          <xm:sqref>P14:P63</xm:sqref>
        </x14:dataValidation>
        <x14:dataValidation type="list" allowBlank="1" showInputMessage="1" showErrorMessage="1">
          <x14:formula1>
            <xm:f>OFFSET(DADOS!$B$1,1,,COUNTA(DADOS!$B:$B)-1)</xm:f>
          </x14:formula1>
          <xm:sqref>B14:C15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>
    <tabColor theme="6" tint="0.39997558519241921"/>
  </sheetPr>
  <dimension ref="A1:E197"/>
  <sheetViews>
    <sheetView zoomScale="85" zoomScaleNormal="85" zoomScaleSheetLayoutView="100" workbookViewId="0">
      <pane ySplit="1" topLeftCell="A111" activePane="bottomLeft" state="frozen"/>
      <selection pane="bottomLeft" activeCell="E137" sqref="E137"/>
    </sheetView>
  </sheetViews>
  <sheetFormatPr defaultRowHeight="12.75"/>
  <cols>
    <col min="1" max="1" width="31.85546875" style="45" customWidth="1"/>
    <col min="2" max="3" width="31.28515625" style="45" customWidth="1"/>
    <col min="4" max="4" width="23" style="45" bestFit="1" customWidth="1"/>
    <col min="5" max="5" width="35.140625" style="45" bestFit="1" customWidth="1"/>
    <col min="6" max="16384" width="9.140625" style="45"/>
  </cols>
  <sheetData>
    <row r="1" spans="1:5">
      <c r="A1" s="66" t="s">
        <v>705</v>
      </c>
      <c r="B1" s="66" t="s">
        <v>731</v>
      </c>
      <c r="C1" s="118" t="s">
        <v>842</v>
      </c>
      <c r="D1" s="64" t="s">
        <v>765</v>
      </c>
      <c r="E1" s="65" t="s">
        <v>766</v>
      </c>
    </row>
    <row r="2" spans="1:5" ht="12.75" customHeight="1">
      <c r="A2" s="44" t="s">
        <v>52</v>
      </c>
      <c r="B2" s="44" t="s">
        <v>814</v>
      </c>
      <c r="C2" s="44" t="s">
        <v>91</v>
      </c>
      <c r="D2" s="30" t="s">
        <v>866</v>
      </c>
      <c r="E2" s="30" t="s">
        <v>103</v>
      </c>
    </row>
    <row r="3" spans="1:5" ht="15">
      <c r="A3" s="44" t="s">
        <v>55</v>
      </c>
      <c r="B3" s="45" t="s">
        <v>727</v>
      </c>
      <c r="C3" s="44" t="s">
        <v>843</v>
      </c>
      <c r="D3" s="30" t="s">
        <v>860</v>
      </c>
      <c r="E3" s="30" t="s">
        <v>112</v>
      </c>
    </row>
    <row r="4" spans="1:5" ht="15">
      <c r="A4" s="44" t="s">
        <v>43</v>
      </c>
      <c r="B4" s="44" t="s">
        <v>794</v>
      </c>
      <c r="C4" s="44" t="s">
        <v>843</v>
      </c>
      <c r="D4" s="30" t="s">
        <v>879</v>
      </c>
      <c r="E4" s="30" t="s">
        <v>114</v>
      </c>
    </row>
    <row r="5" spans="1:5" ht="15">
      <c r="B5" s="44" t="s">
        <v>792</v>
      </c>
      <c r="C5" s="44" t="s">
        <v>843</v>
      </c>
      <c r="D5" s="30" t="s">
        <v>880</v>
      </c>
      <c r="E5" s="30" t="s">
        <v>202</v>
      </c>
    </row>
    <row r="6" spans="1:5" ht="15">
      <c r="B6" s="44" t="s">
        <v>793</v>
      </c>
      <c r="C6" s="44" t="s">
        <v>843</v>
      </c>
      <c r="D6" s="30" t="s">
        <v>881</v>
      </c>
      <c r="E6" s="30" t="s">
        <v>211</v>
      </c>
    </row>
    <row r="7" spans="1:5" ht="15">
      <c r="B7" s="45" t="s">
        <v>712</v>
      </c>
      <c r="C7" s="44" t="s">
        <v>843</v>
      </c>
      <c r="D7" s="30" t="s">
        <v>861</v>
      </c>
      <c r="E7" s="30" t="s">
        <v>116</v>
      </c>
    </row>
    <row r="8" spans="1:5" ht="15">
      <c r="B8" s="45" t="s">
        <v>749</v>
      </c>
      <c r="C8" s="44" t="s">
        <v>843</v>
      </c>
      <c r="D8" s="30" t="s">
        <v>862</v>
      </c>
      <c r="E8" s="30" t="s">
        <v>220</v>
      </c>
    </row>
    <row r="9" spans="1:5" ht="15">
      <c r="B9" s="44" t="s">
        <v>761</v>
      </c>
      <c r="C9" s="44" t="s">
        <v>843</v>
      </c>
      <c r="D9" s="30" t="s">
        <v>863</v>
      </c>
      <c r="E9" s="30" t="s">
        <v>233</v>
      </c>
    </row>
    <row r="10" spans="1:5" ht="15">
      <c r="B10" s="45" t="s">
        <v>723</v>
      </c>
      <c r="C10" s="44" t="s">
        <v>843</v>
      </c>
      <c r="D10" s="96" t="s">
        <v>882</v>
      </c>
      <c r="E10" s="30" t="s">
        <v>125</v>
      </c>
    </row>
    <row r="11" spans="1:5" ht="15">
      <c r="B11" s="45" t="s">
        <v>722</v>
      </c>
      <c r="C11" s="44" t="s">
        <v>843</v>
      </c>
      <c r="D11" s="96" t="s">
        <v>883</v>
      </c>
      <c r="E11" s="30" t="s">
        <v>257</v>
      </c>
    </row>
    <row r="12" spans="1:5" ht="15">
      <c r="B12" s="45" t="s">
        <v>36</v>
      </c>
      <c r="C12" s="44" t="s">
        <v>844</v>
      </c>
      <c r="D12" s="96" t="s">
        <v>884</v>
      </c>
      <c r="E12" s="30" t="s">
        <v>272</v>
      </c>
    </row>
    <row r="13" spans="1:5" ht="15">
      <c r="B13" s="44" t="s">
        <v>817</v>
      </c>
      <c r="C13" s="44" t="s">
        <v>844</v>
      </c>
      <c r="D13" s="96" t="s">
        <v>885</v>
      </c>
      <c r="E13" s="30" t="s">
        <v>276</v>
      </c>
    </row>
    <row r="14" spans="1:5" ht="15">
      <c r="B14" s="45" t="s">
        <v>713</v>
      </c>
      <c r="C14" s="44" t="s">
        <v>843</v>
      </c>
      <c r="D14" s="30" t="s">
        <v>864</v>
      </c>
      <c r="E14" s="94" t="s">
        <v>803</v>
      </c>
    </row>
    <row r="15" spans="1:5" ht="15">
      <c r="B15" s="45" t="s">
        <v>729</v>
      </c>
      <c r="C15" s="44" t="s">
        <v>843</v>
      </c>
      <c r="D15" s="30" t="s">
        <v>865</v>
      </c>
      <c r="E15" s="30" t="s">
        <v>554</v>
      </c>
    </row>
    <row r="16" spans="1:5" ht="15">
      <c r="B16" s="45" t="s">
        <v>728</v>
      </c>
      <c r="C16" s="44" t="s">
        <v>843</v>
      </c>
      <c r="D16" s="30" t="s">
        <v>858</v>
      </c>
      <c r="E16" s="30" t="s">
        <v>574</v>
      </c>
    </row>
    <row r="17" spans="2:5" ht="15">
      <c r="B17" s="45" t="s">
        <v>730</v>
      </c>
      <c r="C17" s="44" t="s">
        <v>846</v>
      </c>
      <c r="D17" s="30" t="s">
        <v>859</v>
      </c>
      <c r="E17" s="30" t="s">
        <v>305</v>
      </c>
    </row>
    <row r="18" spans="2:5" ht="15">
      <c r="B18" s="45" t="s">
        <v>829</v>
      </c>
      <c r="C18" s="44" t="s">
        <v>843</v>
      </c>
      <c r="D18" s="30" t="s">
        <v>857</v>
      </c>
      <c r="E18" s="30" t="s">
        <v>306</v>
      </c>
    </row>
    <row r="19" spans="2:5" ht="15">
      <c r="B19" s="45" t="s">
        <v>748</v>
      </c>
      <c r="C19" s="44" t="s">
        <v>843</v>
      </c>
      <c r="D19" s="30" t="s">
        <v>867</v>
      </c>
      <c r="E19" s="30" t="s">
        <v>308</v>
      </c>
    </row>
    <row r="20" spans="2:5" ht="15">
      <c r="B20" s="45" t="s">
        <v>715</v>
      </c>
      <c r="C20" s="44" t="s">
        <v>843</v>
      </c>
      <c r="D20" s="30" t="s">
        <v>868</v>
      </c>
      <c r="E20" s="30" t="s">
        <v>543</v>
      </c>
    </row>
    <row r="21" spans="2:5" ht="15">
      <c r="B21" s="45" t="s">
        <v>714</v>
      </c>
      <c r="C21" s="44" t="s">
        <v>843</v>
      </c>
      <c r="D21" s="30" t="s">
        <v>869</v>
      </c>
      <c r="E21" s="30" t="s">
        <v>310</v>
      </c>
    </row>
    <row r="22" spans="2:5" ht="15">
      <c r="B22" s="45" t="s">
        <v>809</v>
      </c>
      <c r="C22" s="44" t="s">
        <v>843</v>
      </c>
      <c r="D22" s="30" t="s">
        <v>870</v>
      </c>
      <c r="E22" s="94" t="s">
        <v>800</v>
      </c>
    </row>
    <row r="23" spans="2:5" ht="15">
      <c r="B23" s="45" t="s">
        <v>716</v>
      </c>
      <c r="C23" s="44" t="s">
        <v>843</v>
      </c>
      <c r="D23" s="30" t="s">
        <v>871</v>
      </c>
      <c r="E23" s="30" t="s">
        <v>637</v>
      </c>
    </row>
    <row r="24" spans="2:5" ht="15">
      <c r="B24" s="45" t="s">
        <v>818</v>
      </c>
      <c r="C24" s="44" t="s">
        <v>843</v>
      </c>
      <c r="D24" s="30" t="s">
        <v>855</v>
      </c>
      <c r="E24" s="30" t="s">
        <v>640</v>
      </c>
    </row>
    <row r="25" spans="2:5" ht="15">
      <c r="B25" s="45" t="s">
        <v>717</v>
      </c>
      <c r="C25" s="44" t="s">
        <v>843</v>
      </c>
      <c r="D25" s="30" t="s">
        <v>856</v>
      </c>
      <c r="E25" s="30" t="s">
        <v>639</v>
      </c>
    </row>
    <row r="26" spans="2:5" ht="15">
      <c r="B26" s="45" t="s">
        <v>724</v>
      </c>
      <c r="C26" s="44" t="s">
        <v>844</v>
      </c>
      <c r="D26" s="30" t="s">
        <v>872</v>
      </c>
      <c r="E26" s="30" t="s">
        <v>127</v>
      </c>
    </row>
    <row r="27" spans="2:5" ht="15">
      <c r="B27" s="44" t="s">
        <v>819</v>
      </c>
      <c r="C27" s="44" t="s">
        <v>844</v>
      </c>
      <c r="D27" s="30" t="s">
        <v>873</v>
      </c>
      <c r="E27" s="30" t="s">
        <v>313</v>
      </c>
    </row>
    <row r="28" spans="2:5" ht="15">
      <c r="B28" s="44" t="s">
        <v>820</v>
      </c>
      <c r="C28" s="44" t="s">
        <v>844</v>
      </c>
      <c r="D28" s="30" t="s">
        <v>874</v>
      </c>
      <c r="E28" s="30" t="s">
        <v>314</v>
      </c>
    </row>
    <row r="29" spans="2:5" ht="15">
      <c r="B29" s="45" t="s">
        <v>355</v>
      </c>
      <c r="C29" s="44" t="s">
        <v>844</v>
      </c>
      <c r="D29" s="30" t="s">
        <v>875</v>
      </c>
      <c r="E29" s="30" t="s">
        <v>316</v>
      </c>
    </row>
    <row r="30" spans="2:5" ht="15">
      <c r="B30" s="45" t="s">
        <v>805</v>
      </c>
      <c r="C30" s="44" t="s">
        <v>843</v>
      </c>
      <c r="D30" s="30" t="s">
        <v>876</v>
      </c>
      <c r="E30" s="30" t="s">
        <v>561</v>
      </c>
    </row>
    <row r="31" spans="2:5" ht="15">
      <c r="B31" s="45" t="s">
        <v>850</v>
      </c>
      <c r="C31" s="45" t="s">
        <v>843</v>
      </c>
      <c r="D31" s="30" t="s">
        <v>877</v>
      </c>
      <c r="E31" s="30" t="s">
        <v>319</v>
      </c>
    </row>
    <row r="32" spans="2:5" ht="15">
      <c r="B32" s="45" t="s">
        <v>718</v>
      </c>
      <c r="C32" s="44" t="s">
        <v>843</v>
      </c>
      <c r="D32" s="30" t="s">
        <v>878</v>
      </c>
      <c r="E32" s="94" t="s">
        <v>801</v>
      </c>
    </row>
    <row r="33" spans="2:5" ht="15">
      <c r="B33" s="45" t="s">
        <v>732</v>
      </c>
      <c r="C33" s="44" t="s">
        <v>844</v>
      </c>
      <c r="D33" s="30" t="s">
        <v>340</v>
      </c>
      <c r="E33" s="30" t="s">
        <v>321</v>
      </c>
    </row>
    <row r="34" spans="2:5" ht="15">
      <c r="B34" s="45" t="s">
        <v>707</v>
      </c>
      <c r="C34" s="44" t="s">
        <v>91</v>
      </c>
      <c r="D34" s="30" t="s">
        <v>359</v>
      </c>
      <c r="E34" s="94" t="s">
        <v>802</v>
      </c>
    </row>
    <row r="35" spans="2:5" ht="15">
      <c r="B35" s="45" t="s">
        <v>719</v>
      </c>
      <c r="C35" s="44" t="s">
        <v>91</v>
      </c>
      <c r="D35" s="30" t="s">
        <v>361</v>
      </c>
      <c r="E35" s="94" t="s">
        <v>799</v>
      </c>
    </row>
    <row r="36" spans="2:5" ht="15">
      <c r="B36" s="44" t="s">
        <v>804</v>
      </c>
      <c r="C36" s="44" t="s">
        <v>843</v>
      </c>
      <c r="D36" s="30" t="s">
        <v>370</v>
      </c>
      <c r="E36" s="30" t="s">
        <v>593</v>
      </c>
    </row>
    <row r="37" spans="2:5" ht="15">
      <c r="B37" s="45" t="s">
        <v>812</v>
      </c>
      <c r="C37" s="44" t="s">
        <v>843</v>
      </c>
      <c r="D37" s="30" t="s">
        <v>376</v>
      </c>
      <c r="E37" s="30" t="s">
        <v>594</v>
      </c>
    </row>
    <row r="38" spans="2:5" ht="15">
      <c r="B38" s="45" t="s">
        <v>813</v>
      </c>
      <c r="C38" s="44" t="s">
        <v>843</v>
      </c>
      <c r="D38" s="30" t="s">
        <v>615</v>
      </c>
      <c r="E38" s="30" t="s">
        <v>137</v>
      </c>
    </row>
    <row r="39" spans="2:5" ht="15">
      <c r="B39" s="45" t="s">
        <v>725</v>
      </c>
      <c r="C39" s="44" t="s">
        <v>844</v>
      </c>
      <c r="D39" s="30" t="s">
        <v>584</v>
      </c>
      <c r="E39" s="30" t="s">
        <v>609</v>
      </c>
    </row>
    <row r="40" spans="2:5" ht="15">
      <c r="B40" s="44" t="s">
        <v>827</v>
      </c>
      <c r="C40" s="44" t="s">
        <v>843</v>
      </c>
      <c r="D40" s="30" t="s">
        <v>695</v>
      </c>
      <c r="E40" s="30" t="s">
        <v>583</v>
      </c>
    </row>
    <row r="41" spans="2:5" ht="15">
      <c r="B41" s="44" t="s">
        <v>828</v>
      </c>
      <c r="C41" s="44" t="s">
        <v>844</v>
      </c>
      <c r="D41" s="30" t="s">
        <v>628</v>
      </c>
      <c r="E41" s="30" t="s">
        <v>140</v>
      </c>
    </row>
    <row r="42" spans="2:5" ht="15">
      <c r="B42" s="45" t="s">
        <v>762</v>
      </c>
      <c r="C42" s="44" t="s">
        <v>91</v>
      </c>
      <c r="D42" s="30" t="s">
        <v>545</v>
      </c>
      <c r="E42" s="30" t="s">
        <v>644</v>
      </c>
    </row>
    <row r="43" spans="2:5" ht="15">
      <c r="B43" s="45" t="s">
        <v>104</v>
      </c>
      <c r="C43" s="44" t="s">
        <v>91</v>
      </c>
      <c r="D43" s="30" t="s">
        <v>383</v>
      </c>
      <c r="E43" s="30" t="s">
        <v>515</v>
      </c>
    </row>
    <row r="44" spans="2:5" ht="15">
      <c r="B44" s="45" t="s">
        <v>726</v>
      </c>
      <c r="C44" s="44" t="s">
        <v>845</v>
      </c>
      <c r="D44" s="30" t="s">
        <v>518</v>
      </c>
      <c r="E44" s="30" t="s">
        <v>143</v>
      </c>
    </row>
    <row r="45" spans="2:5" ht="15">
      <c r="B45" s="45" t="s">
        <v>721</v>
      </c>
      <c r="C45" s="44" t="s">
        <v>843</v>
      </c>
      <c r="D45" s="30" t="s">
        <v>559</v>
      </c>
      <c r="E45" s="30" t="s">
        <v>535</v>
      </c>
    </row>
    <row r="46" spans="2:5" ht="15">
      <c r="B46" s="45" t="s">
        <v>720</v>
      </c>
      <c r="C46" s="44" t="s">
        <v>843</v>
      </c>
      <c r="D46" s="30" t="s">
        <v>613</v>
      </c>
      <c r="E46" s="30" t="s">
        <v>147</v>
      </c>
    </row>
    <row r="47" spans="2:5" ht="15">
      <c r="D47" s="30" t="s">
        <v>534</v>
      </c>
      <c r="E47" s="30" t="s">
        <v>149</v>
      </c>
    </row>
    <row r="48" spans="2:5" ht="15">
      <c r="D48" s="30" t="s">
        <v>389</v>
      </c>
      <c r="E48" s="30" t="s">
        <v>153</v>
      </c>
    </row>
    <row r="49" spans="4:5" ht="15">
      <c r="D49" s="30" t="s">
        <v>393</v>
      </c>
      <c r="E49" s="30" t="s">
        <v>155</v>
      </c>
    </row>
    <row r="50" spans="4:5" ht="15">
      <c r="D50" s="30" t="s">
        <v>634</v>
      </c>
      <c r="E50" s="30" t="s">
        <v>617</v>
      </c>
    </row>
    <row r="51" spans="4:5" ht="15">
      <c r="D51" s="30" t="s">
        <v>580</v>
      </c>
      <c r="E51" s="30" t="s">
        <v>158</v>
      </c>
    </row>
    <row r="52" spans="4:5" ht="15">
      <c r="D52" s="30" t="s">
        <v>399</v>
      </c>
      <c r="E52" s="30" t="s">
        <v>164</v>
      </c>
    </row>
    <row r="53" spans="4:5" ht="15">
      <c r="D53" s="30" t="s">
        <v>404</v>
      </c>
      <c r="E53" s="30" t="s">
        <v>167</v>
      </c>
    </row>
    <row r="54" spans="4:5" ht="15">
      <c r="D54" s="30" t="s">
        <v>521</v>
      </c>
      <c r="E54" s="30" t="s">
        <v>170</v>
      </c>
    </row>
    <row r="55" spans="4:5" ht="15">
      <c r="D55" s="30" t="s">
        <v>407</v>
      </c>
      <c r="E55" s="30" t="s">
        <v>173</v>
      </c>
    </row>
    <row r="56" spans="4:5" ht="15">
      <c r="D56" s="30" t="s">
        <v>409</v>
      </c>
      <c r="E56" s="30" t="s">
        <v>178</v>
      </c>
    </row>
    <row r="57" spans="4:5" ht="15">
      <c r="D57" s="30" t="s">
        <v>411</v>
      </c>
      <c r="E57" s="30" t="s">
        <v>181</v>
      </c>
    </row>
    <row r="58" spans="4:5" ht="15">
      <c r="D58" s="30" t="s">
        <v>417</v>
      </c>
      <c r="E58" s="30" t="s">
        <v>184</v>
      </c>
    </row>
    <row r="59" spans="4:5" ht="15">
      <c r="D59" s="30" t="s">
        <v>512</v>
      </c>
      <c r="E59" s="30" t="s">
        <v>186</v>
      </c>
    </row>
    <row r="60" spans="4:5" ht="15">
      <c r="D60" s="30" t="s">
        <v>636</v>
      </c>
      <c r="E60" s="30" t="s">
        <v>189</v>
      </c>
    </row>
    <row r="61" spans="4:5" ht="15">
      <c r="D61" s="30" t="s">
        <v>566</v>
      </c>
      <c r="E61" s="30" t="s">
        <v>190</v>
      </c>
    </row>
    <row r="62" spans="4:5" ht="15">
      <c r="D62" s="30" t="s">
        <v>692</v>
      </c>
      <c r="E62" s="96" t="s">
        <v>815</v>
      </c>
    </row>
    <row r="63" spans="4:5" ht="15">
      <c r="D63" s="30" t="s">
        <v>557</v>
      </c>
      <c r="E63" s="30" t="s">
        <v>192</v>
      </c>
    </row>
    <row r="64" spans="4:5" ht="15">
      <c r="D64" s="30" t="s">
        <v>702</v>
      </c>
      <c r="E64" s="30" t="s">
        <v>539</v>
      </c>
    </row>
    <row r="65" spans="4:5" ht="15">
      <c r="D65" s="30" t="s">
        <v>424</v>
      </c>
      <c r="E65" s="30" t="s">
        <v>194</v>
      </c>
    </row>
    <row r="66" spans="4:5" ht="15">
      <c r="D66" s="30" t="s">
        <v>431</v>
      </c>
      <c r="E66" s="30" t="s">
        <v>196</v>
      </c>
    </row>
    <row r="67" spans="4:5" ht="15">
      <c r="D67" s="30" t="s">
        <v>433</v>
      </c>
      <c r="E67" s="30" t="s">
        <v>198</v>
      </c>
    </row>
    <row r="68" spans="4:5" ht="15">
      <c r="D68" s="30" t="s">
        <v>436</v>
      </c>
      <c r="E68" s="30" t="s">
        <v>200</v>
      </c>
    </row>
    <row r="69" spans="4:5" ht="15">
      <c r="D69" s="30" t="s">
        <v>443</v>
      </c>
      <c r="E69" s="30" t="s">
        <v>653</v>
      </c>
    </row>
    <row r="70" spans="4:5" ht="15">
      <c r="D70" s="30" t="s">
        <v>445</v>
      </c>
      <c r="E70" s="30" t="s">
        <v>686</v>
      </c>
    </row>
    <row r="71" spans="4:5" ht="15">
      <c r="D71" s="30" t="s">
        <v>540</v>
      </c>
      <c r="E71" s="30" t="s">
        <v>203</v>
      </c>
    </row>
    <row r="72" spans="4:5" ht="15">
      <c r="D72" s="30" t="s">
        <v>448</v>
      </c>
      <c r="E72" s="30" t="s">
        <v>205</v>
      </c>
    </row>
    <row r="73" spans="4:5" ht="15">
      <c r="D73" s="30" t="s">
        <v>451</v>
      </c>
      <c r="E73" s="30" t="s">
        <v>208</v>
      </c>
    </row>
    <row r="74" spans="4:5" ht="15">
      <c r="D74" s="30" t="s">
        <v>650</v>
      </c>
      <c r="E74" s="30" t="s">
        <v>209</v>
      </c>
    </row>
    <row r="75" spans="4:5" ht="15">
      <c r="D75" s="30" t="s">
        <v>454</v>
      </c>
      <c r="E75" s="30" t="s">
        <v>611</v>
      </c>
    </row>
    <row r="76" spans="4:5" ht="15">
      <c r="D76" s="30" t="s">
        <v>532</v>
      </c>
      <c r="E76" s="30" t="s">
        <v>587</v>
      </c>
    </row>
    <row r="77" spans="4:5" ht="15">
      <c r="D77" s="30" t="s">
        <v>455</v>
      </c>
      <c r="E77" s="30" t="s">
        <v>648</v>
      </c>
    </row>
    <row r="78" spans="4:5" ht="15">
      <c r="D78" s="30" t="s">
        <v>700</v>
      </c>
      <c r="E78" s="30" t="s">
        <v>213</v>
      </c>
    </row>
    <row r="79" spans="4:5" ht="15">
      <c r="D79" s="30" t="s">
        <v>461</v>
      </c>
      <c r="E79" s="30" t="s">
        <v>214</v>
      </c>
    </row>
    <row r="80" spans="4:5" ht="15">
      <c r="D80" s="30" t="s">
        <v>466</v>
      </c>
      <c r="E80" s="30" t="s">
        <v>651</v>
      </c>
    </row>
    <row r="81" spans="4:5" ht="15">
      <c r="D81" s="30" t="s">
        <v>537</v>
      </c>
      <c r="E81" s="30" t="s">
        <v>216</v>
      </c>
    </row>
    <row r="82" spans="4:5" ht="15">
      <c r="D82" s="30" t="s">
        <v>642</v>
      </c>
      <c r="E82" s="30" t="s">
        <v>218</v>
      </c>
    </row>
    <row r="83" spans="4:5" ht="15">
      <c r="D83" s="30" t="s">
        <v>551</v>
      </c>
      <c r="E83" s="30" t="s">
        <v>221</v>
      </c>
    </row>
    <row r="84" spans="4:5" ht="15">
      <c r="D84" s="30" t="s">
        <v>658</v>
      </c>
      <c r="E84" s="30" t="s">
        <v>223</v>
      </c>
    </row>
    <row r="85" spans="4:5" ht="15">
      <c r="D85" s="96" t="s">
        <v>478</v>
      </c>
      <c r="E85" s="30" t="s">
        <v>226</v>
      </c>
    </row>
    <row r="86" spans="4:5" ht="15">
      <c r="D86" s="82" t="s">
        <v>810</v>
      </c>
      <c r="E86" s="30" t="s">
        <v>231</v>
      </c>
    </row>
    <row r="87" spans="4:5" ht="15">
      <c r="D87" s="30" t="s">
        <v>597</v>
      </c>
      <c r="E87" s="30" t="s">
        <v>690</v>
      </c>
    </row>
    <row r="88" spans="4:5" ht="15">
      <c r="D88" s="30" t="s">
        <v>482</v>
      </c>
      <c r="E88" s="30" t="s">
        <v>588</v>
      </c>
    </row>
    <row r="89" spans="4:5" ht="15">
      <c r="D89" s="30" t="s">
        <v>488</v>
      </c>
      <c r="E89" s="30" t="s">
        <v>235</v>
      </c>
    </row>
    <row r="90" spans="4:5" ht="15">
      <c r="D90" s="30" t="s">
        <v>672</v>
      </c>
      <c r="E90" s="30" t="s">
        <v>239</v>
      </c>
    </row>
    <row r="91" spans="4:5" ht="15">
      <c r="D91" s="96" t="s">
        <v>886</v>
      </c>
      <c r="E91" s="96" t="s">
        <v>830</v>
      </c>
    </row>
    <row r="92" spans="4:5" ht="15">
      <c r="E92" s="30" t="s">
        <v>656</v>
      </c>
    </row>
    <row r="93" spans="4:5" ht="15">
      <c r="E93" s="30" t="s">
        <v>241</v>
      </c>
    </row>
    <row r="94" spans="4:5" ht="15">
      <c r="E94" s="30" t="s">
        <v>548</v>
      </c>
    </row>
    <row r="95" spans="4:5" ht="15">
      <c r="E95" s="30" t="s">
        <v>549</v>
      </c>
    </row>
    <row r="96" spans="4:5" ht="15">
      <c r="E96" s="30" t="s">
        <v>245</v>
      </c>
    </row>
    <row r="97" spans="5:5" ht="15">
      <c r="E97" s="30" t="s">
        <v>247</v>
      </c>
    </row>
    <row r="98" spans="5:5" ht="15">
      <c r="E98" s="30" t="s">
        <v>599</v>
      </c>
    </row>
    <row r="99" spans="5:5" ht="15">
      <c r="E99" s="30" t="s">
        <v>250</v>
      </c>
    </row>
    <row r="100" spans="5:5" ht="15">
      <c r="E100" s="30" t="s">
        <v>633</v>
      </c>
    </row>
    <row r="101" spans="5:5" ht="15">
      <c r="E101" s="30" t="s">
        <v>251</v>
      </c>
    </row>
    <row r="102" spans="5:5" ht="15">
      <c r="E102" s="30" t="s">
        <v>701</v>
      </c>
    </row>
    <row r="103" spans="5:5" ht="15">
      <c r="E103" s="30" t="s">
        <v>660</v>
      </c>
    </row>
    <row r="104" spans="5:5" ht="15">
      <c r="E104" s="30" t="s">
        <v>508</v>
      </c>
    </row>
    <row r="105" spans="5:5" ht="15">
      <c r="E105" s="30" t="s">
        <v>254</v>
      </c>
    </row>
    <row r="106" spans="5:5" ht="15">
      <c r="E106" s="30" t="s">
        <v>259</v>
      </c>
    </row>
    <row r="107" spans="5:5" ht="15">
      <c r="E107" s="30" t="s">
        <v>260</v>
      </c>
    </row>
    <row r="108" spans="5:5" ht="15">
      <c r="E108" s="30" t="s">
        <v>262</v>
      </c>
    </row>
    <row r="109" spans="5:5" ht="15">
      <c r="E109" s="30" t="s">
        <v>268</v>
      </c>
    </row>
    <row r="110" spans="5:5" ht="15">
      <c r="E110" s="30" t="s">
        <v>269</v>
      </c>
    </row>
    <row r="111" spans="5:5" ht="15">
      <c r="E111" s="30" t="s">
        <v>662</v>
      </c>
    </row>
    <row r="112" spans="5:5" ht="15">
      <c r="E112" s="30" t="s">
        <v>606</v>
      </c>
    </row>
    <row r="113" spans="5:5" ht="15">
      <c r="E113" s="30" t="s">
        <v>564</v>
      </c>
    </row>
    <row r="114" spans="5:5" ht="15">
      <c r="E114" s="30" t="s">
        <v>274</v>
      </c>
    </row>
    <row r="115" spans="5:5" ht="15">
      <c r="E115" s="30" t="s">
        <v>655</v>
      </c>
    </row>
    <row r="116" spans="5:5" ht="15">
      <c r="E116" s="30" t="s">
        <v>590</v>
      </c>
    </row>
    <row r="117" spans="5:5" ht="15">
      <c r="E117" s="30" t="s">
        <v>278</v>
      </c>
    </row>
    <row r="118" spans="5:5" ht="15">
      <c r="E118" s="30" t="s">
        <v>281</v>
      </c>
    </row>
    <row r="119" spans="5:5" ht="15">
      <c r="E119" s="30" t="s">
        <v>284</v>
      </c>
    </row>
    <row r="120" spans="5:5" ht="15">
      <c r="E120" s="30" t="s">
        <v>287</v>
      </c>
    </row>
    <row r="121" spans="5:5" ht="15">
      <c r="E121" s="30" t="s">
        <v>290</v>
      </c>
    </row>
    <row r="122" spans="5:5" ht="15">
      <c r="E122" s="30" t="s">
        <v>591</v>
      </c>
    </row>
    <row r="123" spans="5:5" ht="15">
      <c r="E123" s="30" t="s">
        <v>595</v>
      </c>
    </row>
    <row r="124" spans="5:5" ht="15">
      <c r="E124" s="30" t="s">
        <v>688</v>
      </c>
    </row>
    <row r="125" spans="5:5" ht="15">
      <c r="E125" s="30" t="s">
        <v>293</v>
      </c>
    </row>
    <row r="126" spans="5:5" ht="15">
      <c r="E126" s="30" t="s">
        <v>555</v>
      </c>
    </row>
    <row r="127" spans="5:5" ht="15">
      <c r="E127" s="30" t="s">
        <v>665</v>
      </c>
    </row>
    <row r="128" spans="5:5" ht="15">
      <c r="E128" s="30" t="s">
        <v>295</v>
      </c>
    </row>
    <row r="129" spans="5:5" ht="15">
      <c r="E129" s="30" t="s">
        <v>297</v>
      </c>
    </row>
    <row r="130" spans="5:5" ht="15">
      <c r="E130" s="30" t="s">
        <v>668</v>
      </c>
    </row>
    <row r="131" spans="5:5" ht="15">
      <c r="E131" s="30" t="s">
        <v>299</v>
      </c>
    </row>
    <row r="132" spans="5:5" ht="15">
      <c r="E132" s="30" t="s">
        <v>301</v>
      </c>
    </row>
    <row r="133" spans="5:5" ht="15">
      <c r="E133" s="30" t="s">
        <v>661</v>
      </c>
    </row>
    <row r="134" spans="5:5" ht="15">
      <c r="E134" s="30" t="s">
        <v>670</v>
      </c>
    </row>
    <row r="135" spans="5:5" ht="15">
      <c r="E135" s="96" t="s">
        <v>806</v>
      </c>
    </row>
    <row r="136" spans="5:5" ht="15">
      <c r="E136" s="30" t="s">
        <v>697</v>
      </c>
    </row>
    <row r="137" spans="5:5" ht="15">
      <c r="E137" s="30" t="s">
        <v>303</v>
      </c>
    </row>
    <row r="138" spans="5:5" ht="15">
      <c r="E138" s="67"/>
    </row>
    <row r="139" spans="5:5" ht="15">
      <c r="E139" s="67"/>
    </row>
    <row r="140" spans="5:5" ht="15">
      <c r="E140" s="67"/>
    </row>
    <row r="141" spans="5:5" ht="15">
      <c r="E141" s="67"/>
    </row>
    <row r="142" spans="5:5" ht="15">
      <c r="E142" s="67"/>
    </row>
    <row r="143" spans="5:5" ht="15">
      <c r="E143" s="67"/>
    </row>
    <row r="144" spans="5:5" ht="15">
      <c r="E144" s="67"/>
    </row>
    <row r="145" spans="5:5" ht="15">
      <c r="E145" s="67"/>
    </row>
    <row r="146" spans="5:5" ht="15">
      <c r="E146" s="67"/>
    </row>
    <row r="147" spans="5:5" ht="15">
      <c r="E147" s="67"/>
    </row>
    <row r="148" spans="5:5" ht="15">
      <c r="E148" s="67"/>
    </row>
    <row r="149" spans="5:5" ht="15">
      <c r="E149" s="67"/>
    </row>
    <row r="150" spans="5:5" ht="15">
      <c r="E150" s="67"/>
    </row>
    <row r="151" spans="5:5" ht="15">
      <c r="E151" s="67"/>
    </row>
    <row r="152" spans="5:5" ht="15">
      <c r="E152" s="67"/>
    </row>
    <row r="153" spans="5:5" ht="15">
      <c r="E153" s="67"/>
    </row>
    <row r="154" spans="5:5" ht="15">
      <c r="E154" s="67"/>
    </row>
    <row r="155" spans="5:5" ht="15">
      <c r="E155" s="67"/>
    </row>
    <row r="156" spans="5:5" ht="15">
      <c r="E156" s="67"/>
    </row>
    <row r="157" spans="5:5" ht="15">
      <c r="E157" s="67"/>
    </row>
    <row r="158" spans="5:5" ht="15">
      <c r="E158" s="67"/>
    </row>
    <row r="159" spans="5:5" ht="15">
      <c r="E159" s="67"/>
    </row>
    <row r="160" spans="5:5" ht="15">
      <c r="E160" s="67"/>
    </row>
    <row r="161" spans="5:5" ht="15">
      <c r="E161" s="67"/>
    </row>
    <row r="162" spans="5:5" ht="15">
      <c r="E162" s="67"/>
    </row>
    <row r="163" spans="5:5" ht="15">
      <c r="E163" s="67"/>
    </row>
    <row r="164" spans="5:5" ht="15">
      <c r="E164" s="67"/>
    </row>
    <row r="165" spans="5:5" ht="15">
      <c r="E165" s="67"/>
    </row>
    <row r="166" spans="5:5" ht="15">
      <c r="E166" s="67"/>
    </row>
    <row r="167" spans="5:5" ht="15">
      <c r="E167" s="67"/>
    </row>
    <row r="168" spans="5:5" ht="15">
      <c r="E168" s="67"/>
    </row>
    <row r="169" spans="5:5" ht="15">
      <c r="E169" s="67"/>
    </row>
    <row r="170" spans="5:5" ht="15">
      <c r="E170" s="67"/>
    </row>
    <row r="171" spans="5:5" ht="15">
      <c r="E171" s="67"/>
    </row>
    <row r="172" spans="5:5" ht="15">
      <c r="E172" s="67"/>
    </row>
    <row r="173" spans="5:5" ht="15">
      <c r="E173" s="67"/>
    </row>
    <row r="174" spans="5:5" ht="15">
      <c r="E174" s="67"/>
    </row>
    <row r="175" spans="5:5" ht="15">
      <c r="E175" s="67"/>
    </row>
    <row r="176" spans="5:5" ht="15">
      <c r="E176" s="67"/>
    </row>
    <row r="177" spans="5:5" ht="15">
      <c r="E177" s="67"/>
    </row>
    <row r="178" spans="5:5" ht="15">
      <c r="E178" s="67"/>
    </row>
    <row r="179" spans="5:5" ht="15">
      <c r="E179" s="67"/>
    </row>
    <row r="180" spans="5:5" ht="15">
      <c r="E180" s="67"/>
    </row>
    <row r="181" spans="5:5" ht="15">
      <c r="E181" s="67"/>
    </row>
    <row r="182" spans="5:5" ht="15">
      <c r="E182" s="67"/>
    </row>
    <row r="183" spans="5:5" ht="15">
      <c r="E183" s="67"/>
    </row>
    <row r="184" spans="5:5" ht="15">
      <c r="E184" s="67"/>
    </row>
    <row r="185" spans="5:5" ht="15">
      <c r="E185" s="67"/>
    </row>
    <row r="186" spans="5:5" ht="15">
      <c r="E186" s="67"/>
    </row>
    <row r="187" spans="5:5" ht="15">
      <c r="E187" s="67"/>
    </row>
    <row r="188" spans="5:5" ht="15">
      <c r="E188" s="67"/>
    </row>
    <row r="189" spans="5:5" ht="15">
      <c r="E189" s="67"/>
    </row>
    <row r="190" spans="5:5" ht="15">
      <c r="E190" s="67"/>
    </row>
    <row r="191" spans="5:5" ht="15">
      <c r="E191" s="67"/>
    </row>
    <row r="192" spans="5:5" ht="15">
      <c r="E192" s="67"/>
    </row>
    <row r="193" spans="5:5" ht="15">
      <c r="E193" s="67"/>
    </row>
    <row r="194" spans="5:5" ht="15">
      <c r="E194" s="67"/>
    </row>
    <row r="195" spans="5:5" ht="15">
      <c r="E195" s="67"/>
    </row>
    <row r="196" spans="5:5" ht="15">
      <c r="E196" s="67"/>
    </row>
    <row r="197" spans="5:5" ht="15">
      <c r="E197" s="67"/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8" shapeId="9217" r:id="rId4">
          <objectPr defaultSize="0" r:id="rId5">
            <anchor moveWithCells="1">
              <from>
                <xdr:col>6</xdr:col>
                <xdr:colOff>371475</xdr:colOff>
                <xdr:row>10</xdr:row>
                <xdr:rowOff>133350</xdr:rowOff>
              </from>
              <to>
                <xdr:col>10</xdr:col>
                <xdr:colOff>466725</xdr:colOff>
                <xdr:row>12</xdr:row>
                <xdr:rowOff>9525</xdr:rowOff>
              </to>
            </anchor>
          </objectPr>
        </oleObject>
      </mc:Choice>
      <mc:Fallback>
        <oleObject progId="Word.Document.8" shapeId="9217" r:id="rId4"/>
      </mc:Fallback>
    </mc:AlternateContent>
  </oleObjects>
  <tableParts count="4">
    <tablePart r:id="rId6"/>
    <tablePart r:id="rId7"/>
    <tablePart r:id="rId8"/>
    <tablePart r:id="rId9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6" tint="0.39997558519241921"/>
  </sheetPr>
  <dimension ref="B1:M9"/>
  <sheetViews>
    <sheetView zoomScale="85" zoomScaleNormal="85" workbookViewId="0">
      <selection activeCell="E6" sqref="E6:J6"/>
    </sheetView>
  </sheetViews>
  <sheetFormatPr defaultRowHeight="12.75"/>
  <cols>
    <col min="1" max="3" width="9.140625" style="119"/>
    <col min="4" max="4" width="11.85546875" style="119" customWidth="1"/>
    <col min="5" max="16384" width="9.140625" style="119"/>
  </cols>
  <sheetData>
    <row r="1" spans="2:13">
      <c r="L1" s="121"/>
      <c r="M1" s="122" t="s">
        <v>91</v>
      </c>
    </row>
    <row r="2" spans="2:13">
      <c r="L2" s="121"/>
      <c r="M2" s="122" t="s">
        <v>843</v>
      </c>
    </row>
    <row r="3" spans="2:13" ht="26.25">
      <c r="B3" s="120" t="s">
        <v>847</v>
      </c>
      <c r="C3" s="120"/>
      <c r="D3" s="120"/>
      <c r="M3" s="122" t="s">
        <v>844</v>
      </c>
    </row>
    <row r="4" spans="2:13">
      <c r="M4" s="122" t="s">
        <v>846</v>
      </c>
    </row>
    <row r="5" spans="2:13" ht="15">
      <c r="B5" s="434" t="s">
        <v>848</v>
      </c>
      <c r="C5" s="434"/>
      <c r="D5" s="434"/>
      <c r="E5" s="435"/>
      <c r="F5" s="435"/>
      <c r="G5" s="435"/>
      <c r="H5" s="435"/>
      <c r="I5" s="435"/>
      <c r="J5" s="435"/>
      <c r="M5" s="122" t="s">
        <v>845</v>
      </c>
    </row>
    <row r="6" spans="2:13" ht="15">
      <c r="B6" s="434" t="s">
        <v>849</v>
      </c>
      <c r="C6" s="434"/>
      <c r="D6" s="434"/>
      <c r="E6" s="435"/>
      <c r="F6" s="435"/>
      <c r="G6" s="435"/>
      <c r="H6" s="435"/>
      <c r="I6" s="435"/>
      <c r="J6" s="435"/>
      <c r="M6" s="122"/>
    </row>
    <row r="7" spans="2:13">
      <c r="M7" s="122"/>
    </row>
    <row r="8" spans="2:13">
      <c r="M8" s="122"/>
    </row>
    <row r="9" spans="2:13">
      <c r="M9" s="122"/>
    </row>
  </sheetData>
  <sheetProtection sheet="1" selectLockedCells="1"/>
  <mergeCells count="4">
    <mergeCell ref="B5:D5"/>
    <mergeCell ref="E5:J5"/>
    <mergeCell ref="B6:D6"/>
    <mergeCell ref="E6:J6"/>
  </mergeCells>
  <dataValidations count="1">
    <dataValidation type="list" allowBlank="1" showInputMessage="1" showErrorMessage="1" sqref="E6:J6">
      <formula1>$M$1:$M$5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theme="3" tint="0.79998168889431442"/>
    <pageSetUpPr fitToPage="1"/>
  </sheetPr>
  <dimension ref="A1:U65"/>
  <sheetViews>
    <sheetView showGridLines="0" view="pageBreakPreview" zoomScale="85" zoomScaleNormal="90" zoomScaleSheetLayoutView="85" workbookViewId="0">
      <selection activeCell="A14" sqref="A14:A15"/>
    </sheetView>
  </sheetViews>
  <sheetFormatPr defaultRowHeight="12.75"/>
  <cols>
    <col min="1" max="1" width="14.42578125" style="25" customWidth="1"/>
    <col min="2" max="2" width="10.140625" style="25" customWidth="1"/>
    <col min="3" max="3" width="12.28515625" style="25" customWidth="1"/>
    <col min="4" max="4" width="9.28515625" style="25" customWidth="1"/>
    <col min="5" max="5" width="7.7109375" style="25" customWidth="1"/>
    <col min="6" max="6" width="6.42578125" style="25" customWidth="1"/>
    <col min="7" max="7" width="8.85546875" style="25" customWidth="1"/>
    <col min="8" max="8" width="11.42578125" style="25" customWidth="1"/>
    <col min="9" max="9" width="8.42578125" style="25" customWidth="1"/>
    <col min="10" max="10" width="6.42578125" style="25" customWidth="1"/>
    <col min="11" max="11" width="20.140625" style="25" customWidth="1"/>
    <col min="12" max="12" width="18.5703125" style="25" customWidth="1"/>
    <col min="13" max="13" width="9.28515625" style="25" customWidth="1"/>
    <col min="14" max="14" width="18.85546875" style="25" customWidth="1"/>
    <col min="15" max="15" width="11.28515625" style="25" customWidth="1"/>
    <col min="16" max="16" width="15" style="25" customWidth="1"/>
    <col min="17" max="17" width="15.5703125" style="25" customWidth="1"/>
    <col min="18" max="16384" width="9.140625" style="25"/>
  </cols>
  <sheetData>
    <row r="1" spans="1:21" ht="12.75" customHeight="1">
      <c r="A1" s="212" t="s">
        <v>0</v>
      </c>
      <c r="B1" s="213"/>
      <c r="C1" s="213"/>
      <c r="D1" s="213"/>
      <c r="E1" s="213"/>
      <c r="F1" s="213"/>
      <c r="G1" s="213"/>
      <c r="H1" s="213"/>
      <c r="I1" s="213"/>
      <c r="J1" s="213"/>
      <c r="K1" s="213"/>
      <c r="L1" s="213"/>
      <c r="M1" s="213"/>
      <c r="N1" s="213"/>
      <c r="O1" s="213"/>
      <c r="P1" s="213"/>
      <c r="Q1" s="214"/>
    </row>
    <row r="2" spans="1:21" ht="13.5" customHeight="1" thickBot="1">
      <c r="A2" s="215"/>
      <c r="B2" s="216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7"/>
      <c r="U2" s="41"/>
    </row>
    <row r="3" spans="1:21" ht="12.75" customHeight="1">
      <c r="A3" s="218" t="s">
        <v>1</v>
      </c>
      <c r="B3" s="219"/>
      <c r="C3" s="3" t="s">
        <v>34</v>
      </c>
      <c r="D3" s="220" t="s">
        <v>2</v>
      </c>
      <c r="E3" s="220"/>
      <c r="F3" s="220"/>
      <c r="G3" s="221" t="s">
        <v>33</v>
      </c>
      <c r="H3" s="222"/>
      <c r="I3" s="262" t="str">
        <f>IF('MATERIA PRIMA'!I3:I4="","",'MATERIA PRIMA'!I3:I4)</f>
        <v/>
      </c>
      <c r="J3" s="244" t="s">
        <v>708</v>
      </c>
      <c r="K3" s="244"/>
      <c r="L3" s="271" t="str">
        <f>IF('MATERIA PRIMA'!L3:L4="","",'MATERIA PRIMA'!L3:L4)</f>
        <v/>
      </c>
      <c r="M3" s="248" t="s">
        <v>710</v>
      </c>
      <c r="N3" s="248"/>
      <c r="O3" s="271" t="str">
        <f>IF('MATERIA PRIMA'!O3:O4="","",'MATERIA PRIMA'!O3:O4)</f>
        <v>X</v>
      </c>
      <c r="P3" s="250" t="s">
        <v>22</v>
      </c>
      <c r="Q3" s="26" t="s">
        <v>4</v>
      </c>
      <c r="U3" s="42"/>
    </row>
    <row r="4" spans="1:21" ht="12.75" customHeight="1">
      <c r="A4" s="277" t="str">
        <f>IF('MATERIA PRIMA'!A4:B4="","",'MATERIA PRIMA'!A4:B4)</f>
        <v/>
      </c>
      <c r="B4" s="278"/>
      <c r="C4" s="27" t="str">
        <f>IF('MATERIA PRIMA'!C4="","",'MATERIA PRIMA'!C4)</f>
        <v/>
      </c>
      <c r="D4" s="279" t="str">
        <f>IF('MATERIA PRIMA'!D4:F4="","",'MATERIA PRIMA'!D4:F4)</f>
        <v/>
      </c>
      <c r="E4" s="280"/>
      <c r="F4" s="280"/>
      <c r="G4" s="239" t="str">
        <f>IF('MATERIA PRIMA'!G4:H4="","",'MATERIA PRIMA'!G4:H4)</f>
        <v/>
      </c>
      <c r="H4" s="241"/>
      <c r="I4" s="263"/>
      <c r="J4" s="245"/>
      <c r="K4" s="245"/>
      <c r="L4" s="272"/>
      <c r="M4" s="249"/>
      <c r="N4" s="249"/>
      <c r="O4" s="272"/>
      <c r="P4" s="251"/>
      <c r="Q4" s="56">
        <f ca="1">_xlfn.SHEET()</f>
        <v>12</v>
      </c>
      <c r="U4" s="41"/>
    </row>
    <row r="5" spans="1:21">
      <c r="A5" s="228" t="s">
        <v>21</v>
      </c>
      <c r="B5" s="229"/>
      <c r="C5" s="227" t="s">
        <v>3</v>
      </c>
      <c r="D5" s="191"/>
      <c r="E5" s="191"/>
      <c r="F5" s="191"/>
      <c r="G5" s="191"/>
      <c r="H5" s="192"/>
      <c r="I5" s="227" t="s">
        <v>5</v>
      </c>
      <c r="J5" s="191"/>
      <c r="K5" s="191"/>
      <c r="L5" s="192"/>
      <c r="M5" s="227" t="s">
        <v>29</v>
      </c>
      <c r="N5" s="191"/>
      <c r="O5" s="191"/>
      <c r="P5" s="192"/>
      <c r="Q5" s="28" t="s">
        <v>7</v>
      </c>
      <c r="U5" s="42"/>
    </row>
    <row r="6" spans="1:21" ht="13.5" customHeight="1">
      <c r="A6" s="273" t="str">
        <f>IF('MATERIA PRIMA'!A6:B6="","",'MATERIA PRIMA'!A6:B6)</f>
        <v/>
      </c>
      <c r="B6" s="274"/>
      <c r="C6" s="275" t="str">
        <f>IF('MATERIA PRIMA'!C6:H6="","",'MATERIA PRIMA'!C6:H6)</f>
        <v/>
      </c>
      <c r="D6" s="276"/>
      <c r="E6" s="276"/>
      <c r="F6" s="276"/>
      <c r="G6" s="276"/>
      <c r="H6" s="274"/>
      <c r="I6" s="239" t="s">
        <v>6</v>
      </c>
      <c r="J6" s="240"/>
      <c r="K6" s="240"/>
      <c r="L6" s="241"/>
      <c r="M6" s="275" t="str">
        <f>IF('MATERIA PRIMA'!M6:P6="","",'MATERIA PRIMA'!M6:P6)</f>
        <v/>
      </c>
      <c r="N6" s="276"/>
      <c r="O6" s="276"/>
      <c r="P6" s="274"/>
      <c r="Q6" s="38" t="str">
        <f>IF('MATERIA PRIMA'!Q6="","",'MATERIA PRIMA'!Q6)</f>
        <v/>
      </c>
      <c r="U6" s="41"/>
    </row>
    <row r="7" spans="1:21">
      <c r="A7" s="190" t="s">
        <v>28</v>
      </c>
      <c r="B7" s="191"/>
      <c r="C7" s="191"/>
      <c r="D7" s="191"/>
      <c r="E7" s="191"/>
      <c r="F7" s="191"/>
      <c r="G7" s="191"/>
      <c r="H7" s="191"/>
      <c r="I7" s="191"/>
      <c r="J7" s="191"/>
      <c r="K7" s="191"/>
      <c r="L7" s="191"/>
      <c r="M7" s="191"/>
      <c r="N7" s="191"/>
      <c r="O7" s="191"/>
      <c r="P7" s="192"/>
      <c r="Q7" s="28" t="s">
        <v>8</v>
      </c>
      <c r="U7" s="42"/>
    </row>
    <row r="8" spans="1:21" ht="12.75" customHeight="1">
      <c r="A8" s="266" t="str">
        <f>IF('MATERIA PRIMA'!A8:P8="","",'MATERIA PRIMA'!A8:P8)</f>
        <v/>
      </c>
      <c r="B8" s="267"/>
      <c r="C8" s="267"/>
      <c r="D8" s="267"/>
      <c r="E8" s="267"/>
      <c r="F8" s="267"/>
      <c r="G8" s="267"/>
      <c r="H8" s="267"/>
      <c r="I8" s="267"/>
      <c r="J8" s="267"/>
      <c r="K8" s="267"/>
      <c r="L8" s="267"/>
      <c r="M8" s="267"/>
      <c r="N8" s="267"/>
      <c r="O8" s="267"/>
      <c r="P8" s="268"/>
      <c r="Q8" s="38" t="str">
        <f>IF('MATERIA PRIMA'!Q8="","",'MATERIA PRIMA'!Q8)</f>
        <v/>
      </c>
      <c r="U8" s="41"/>
    </row>
    <row r="9" spans="1:21" ht="14.25" customHeight="1">
      <c r="A9" s="208" t="s">
        <v>9</v>
      </c>
      <c r="B9" s="223"/>
      <c r="C9" s="223"/>
      <c r="D9" s="223"/>
      <c r="E9" s="223"/>
      <c r="F9" s="223"/>
      <c r="G9" s="186"/>
      <c r="H9" s="224" t="s">
        <v>26</v>
      </c>
      <c r="I9" s="225"/>
      <c r="J9" s="225"/>
      <c r="K9" s="225"/>
      <c r="L9" s="225"/>
      <c r="M9" s="225"/>
      <c r="N9" s="225"/>
      <c r="O9" s="225"/>
      <c r="P9" s="225"/>
      <c r="Q9" s="226"/>
      <c r="U9" s="42"/>
    </row>
    <row r="10" spans="1:21">
      <c r="A10" s="208" t="s">
        <v>10</v>
      </c>
      <c r="B10" s="186"/>
      <c r="C10" s="36" t="s">
        <v>11</v>
      </c>
      <c r="D10" s="185" t="s">
        <v>12</v>
      </c>
      <c r="E10" s="186"/>
      <c r="F10" s="185" t="s">
        <v>11</v>
      </c>
      <c r="G10" s="186"/>
      <c r="H10" s="196"/>
      <c r="I10" s="197"/>
      <c r="J10" s="198"/>
      <c r="K10" s="185" t="s">
        <v>11</v>
      </c>
      <c r="L10" s="186"/>
      <c r="M10" s="187"/>
      <c r="N10" s="188"/>
      <c r="O10" s="189"/>
      <c r="P10" s="46"/>
      <c r="Q10" s="2" t="s">
        <v>11</v>
      </c>
      <c r="U10" s="41"/>
    </row>
    <row r="11" spans="1:21" ht="13.5" thickBot="1">
      <c r="A11" s="202"/>
      <c r="B11" s="203"/>
      <c r="C11" s="60"/>
      <c r="D11" s="204"/>
      <c r="E11" s="203"/>
      <c r="F11" s="204"/>
      <c r="G11" s="203"/>
      <c r="H11" s="209"/>
      <c r="I11" s="210"/>
      <c r="J11" s="211"/>
      <c r="K11" s="204"/>
      <c r="L11" s="203"/>
      <c r="M11" s="205"/>
      <c r="N11" s="206"/>
      <c r="O11" s="207"/>
      <c r="P11" s="61"/>
      <c r="Q11" s="62"/>
      <c r="U11" s="42"/>
    </row>
    <row r="12" spans="1:21">
      <c r="A12" s="282" t="s">
        <v>760</v>
      </c>
      <c r="B12" s="284" t="s">
        <v>759</v>
      </c>
      <c r="C12" s="285"/>
      <c r="D12" s="284" t="s">
        <v>758</v>
      </c>
      <c r="E12" s="285"/>
      <c r="F12" s="258" t="s">
        <v>20</v>
      </c>
      <c r="G12" s="258"/>
      <c r="H12" s="258"/>
      <c r="I12" s="258"/>
      <c r="J12" s="258"/>
      <c r="K12" s="289" t="s">
        <v>23</v>
      </c>
      <c r="L12" s="289"/>
      <c r="M12" s="289"/>
      <c r="N12" s="289"/>
      <c r="O12" s="289"/>
      <c r="P12" s="269" t="s">
        <v>711</v>
      </c>
      <c r="Q12" s="264" t="s">
        <v>757</v>
      </c>
      <c r="U12" s="41"/>
    </row>
    <row r="13" spans="1:21" ht="22.5">
      <c r="A13" s="283"/>
      <c r="B13" s="286"/>
      <c r="C13" s="287"/>
      <c r="D13" s="286"/>
      <c r="E13" s="287"/>
      <c r="F13" s="81" t="s">
        <v>17</v>
      </c>
      <c r="G13" s="281" t="s">
        <v>750</v>
      </c>
      <c r="H13" s="281"/>
      <c r="I13" s="281" t="s">
        <v>751</v>
      </c>
      <c r="J13" s="281"/>
      <c r="K13" s="29" t="s">
        <v>752</v>
      </c>
      <c r="L13" s="29" t="s">
        <v>753</v>
      </c>
      <c r="M13" s="29" t="s">
        <v>754</v>
      </c>
      <c r="N13" s="29" t="s">
        <v>755</v>
      </c>
      <c r="O13" s="29" t="s">
        <v>756</v>
      </c>
      <c r="P13" s="270"/>
      <c r="Q13" s="265"/>
      <c r="U13" s="42"/>
    </row>
    <row r="14" spans="1:21" ht="12.75" customHeight="1">
      <c r="A14" s="136"/>
      <c r="B14" s="150" t="s">
        <v>724</v>
      </c>
      <c r="C14" s="150"/>
      <c r="D14" s="436" t="s">
        <v>736</v>
      </c>
      <c r="E14" s="437"/>
      <c r="F14" s="150" t="str">
        <f>IF(G14&lt;&gt;"",$A$14&amp;"."&amp;(ROW(G14)-12)/2,"")</f>
        <v>.1</v>
      </c>
      <c r="G14" s="440" t="s">
        <v>737</v>
      </c>
      <c r="H14" s="440"/>
      <c r="I14" s="150"/>
      <c r="J14" s="150"/>
      <c r="K14" s="441" t="s">
        <v>738</v>
      </c>
      <c r="L14" s="441" t="s">
        <v>111</v>
      </c>
      <c r="M14" s="441" t="str">
        <f>IF(G14&lt;&gt;"",IF(O14="R.I.F.",10,IF(OR(P14="C",P14="E"),4,IF(P14="D",6,IF(OR(RIGHT($B$14,4)="100%",$B$14="OLEAR COM ÓLEO PROTETIVO",$B$14="MAGNAFLUX",$B$14="DESEMPENAR",$B$14="LIMPEZA MECÂNICA"),"100%",2)))),"")</f>
        <v>100%</v>
      </c>
      <c r="N14" s="441" t="s">
        <v>35</v>
      </c>
      <c r="O14" s="441" t="str">
        <f>IF(G14&lt;&gt;"",
                               IF(OR($B$14="ESTAMPAR",$B$14="LAMINAR ROSCA",$B$14="LAMINAR CANAIS",$B$14="ENDIREITAR",$B$14="CONFORMAR A FRIO",$B$14="FORJAR A QUENTE",$B$14="REPASSAR ROSCA",$B$14="LAMINAR RECARTILHA",$B$14="OLEAR COM ÓLEO PROTETIVO"),"R.I.P.",
                               IF(OR(LEFT($B$14,11)="RECEBIMENTO",$B$14="TRATAMENTO SUPERFICIAL"),"R.I.R.",
                               IF(OR($B$14="DESEMPENAR",$B$14="JATEAR",$B$14="MAGNAFLUX",$B$14="QUEIMA DE ÓLEO",$B$14="LIMPEZA MECÂNICA"),"R.I.","R.I.F."))),"")</f>
        <v>R.I.</v>
      </c>
      <c r="P14" s="443"/>
      <c r="Q14" s="445" t="str">
        <f>IF(G14&lt;&gt;"","IT 9.4.9.","")</f>
        <v>IT 9.4.9.</v>
      </c>
      <c r="U14" s="41"/>
    </row>
    <row r="15" spans="1:21" ht="12.75" customHeight="1">
      <c r="A15" s="136"/>
      <c r="B15" s="150"/>
      <c r="C15" s="150"/>
      <c r="D15" s="438"/>
      <c r="E15" s="439"/>
      <c r="F15" s="150"/>
      <c r="G15" s="440"/>
      <c r="H15" s="440"/>
      <c r="I15" s="150"/>
      <c r="J15" s="150"/>
      <c r="K15" s="442"/>
      <c r="L15" s="442"/>
      <c r="M15" s="442"/>
      <c r="N15" s="442"/>
      <c r="O15" s="442"/>
      <c r="P15" s="444"/>
      <c r="Q15" s="446"/>
      <c r="U15" s="42"/>
    </row>
    <row r="16" spans="1:21" ht="12.75" customHeight="1">
      <c r="A16" s="136"/>
      <c r="B16" s="150"/>
      <c r="C16" s="150"/>
      <c r="D16" s="150"/>
      <c r="E16" s="150"/>
      <c r="F16" s="150" t="str">
        <f>IF(G16&lt;&gt;"",$A$14&amp;"."&amp;(ROW(G16)-12)/2,"")</f>
        <v>.2</v>
      </c>
      <c r="G16" s="150" t="s">
        <v>109</v>
      </c>
      <c r="H16" s="150"/>
      <c r="I16" s="150"/>
      <c r="J16" s="150"/>
      <c r="K16" s="441" t="s">
        <v>739</v>
      </c>
      <c r="L16" s="441" t="s">
        <v>111</v>
      </c>
      <c r="M16" s="441" t="str">
        <f>IF(G16&lt;&gt;"",IF(O16="R.I.F.",10,IF(OR(P16="C",P16="E"),4,IF(P16="D",6,IF(OR(RIGHT($B$14,4)="100%",$B$14="OLEAR COM ÓLEO PROTETIVO",$B$14="MAGNAFLUX",$B$14="DESEMPENAR",$B$14="LIMPEZA MECÂNICA"),"100%",2)))),"")</f>
        <v>100%</v>
      </c>
      <c r="N16" s="441" t="s">
        <v>35</v>
      </c>
      <c r="O16" s="441" t="str">
        <f>IF(G16&lt;&gt;"",
                               IF(OR($B$14="ESTAMPAR",$B$14="LAMINAR ROSCA",$B$14="LAMINAR CANAIS",$B$14="ENDIREITAR",$B$14="CONFORMAR A FRIO",$B$14="FORJAR A QUENTE",$B$14="REPASSAR ROSCA",$B$14="LAMINAR RECARTILHA",$B$14="OLEAR COM ÓLEO PROTETIVO"),"R.I.P.",
                               IF(OR(LEFT($B$14,11)="RECEBIMENTO",$B$14="TRATAMENTO SUPERFICIAL"),"R.I.R.",
                               IF(OR($B$14="DESEMPENAR",$B$14="JATEAR",$B$14="MAGNAFLUX",$B$14="QUEIMA DE ÓLEO",$B$14="LIMPEZA MECÂNICA"),"R.I.","R.I.F."))),"")</f>
        <v>R.I.</v>
      </c>
      <c r="P16" s="443"/>
      <c r="Q16" s="445" t="str">
        <f>IF(G16&lt;&gt;"","IT 9.4.9.","")</f>
        <v>IT 9.4.9.</v>
      </c>
      <c r="U16" s="41"/>
    </row>
    <row r="17" spans="1:21" ht="12.75" customHeight="1">
      <c r="A17" s="136"/>
      <c r="B17" s="150"/>
      <c r="C17" s="150"/>
      <c r="D17" s="150"/>
      <c r="E17" s="150"/>
      <c r="F17" s="150"/>
      <c r="G17" s="150"/>
      <c r="H17" s="150"/>
      <c r="I17" s="150"/>
      <c r="J17" s="150"/>
      <c r="K17" s="442"/>
      <c r="L17" s="442"/>
      <c r="M17" s="442"/>
      <c r="N17" s="442"/>
      <c r="O17" s="442"/>
      <c r="P17" s="444"/>
      <c r="Q17" s="446"/>
      <c r="U17" s="42"/>
    </row>
    <row r="18" spans="1:21" ht="12.75" customHeight="1">
      <c r="A18" s="136"/>
      <c r="B18" s="137"/>
      <c r="C18" s="137"/>
      <c r="D18" s="137"/>
      <c r="E18" s="137"/>
      <c r="F18" s="150" t="str">
        <f>IF(OR(G18&lt;&gt;"",I18&lt;&gt;""),$A$14&amp;"."&amp;(ROW(G18)-12)/2,"")</f>
        <v/>
      </c>
      <c r="G18" s="137"/>
      <c r="H18" s="137"/>
      <c r="I18" s="137"/>
      <c r="J18" s="137"/>
      <c r="K18" s="146"/>
      <c r="L18" s="146"/>
      <c r="M18" s="146" t="str">
        <f>IF(F18&lt;&gt;"",IF(O18="R.I.F.",10,
                          IF(OR(LEFT($B$14,4)="100%",$B$14="OLEAR COM ÓLEO PROTETIVO",$B$14="MAGNAFLUX",$B$14="DESEMPENAR"),"100%",
                          IF(OR(P18="C",P18="E"),4,IF(P18="D",6,2)))),"")</f>
        <v/>
      </c>
      <c r="N18" s="146"/>
      <c r="O18" s="146" t="str">
        <f>IF(F18&lt;&gt;"",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18" s="259"/>
      <c r="Q18" s="152" t="str">
        <f>IF(F18&lt;&gt;"","IT 9.4.9.","")</f>
        <v/>
      </c>
      <c r="U18" s="41"/>
    </row>
    <row r="19" spans="1:21">
      <c r="A19" s="136"/>
      <c r="B19" s="137"/>
      <c r="C19" s="137"/>
      <c r="D19" s="137"/>
      <c r="E19" s="137"/>
      <c r="F19" s="150"/>
      <c r="G19" s="137"/>
      <c r="H19" s="137"/>
      <c r="I19" s="137"/>
      <c r="J19" s="137"/>
      <c r="K19" s="147"/>
      <c r="L19" s="147"/>
      <c r="M19" s="147"/>
      <c r="N19" s="147"/>
      <c r="O19" s="147"/>
      <c r="P19" s="260"/>
      <c r="Q19" s="153"/>
      <c r="U19" s="42"/>
    </row>
    <row r="20" spans="1:21" ht="12.75" customHeight="1">
      <c r="A20" s="163"/>
      <c r="B20" s="138"/>
      <c r="C20" s="139"/>
      <c r="D20" s="138"/>
      <c r="E20" s="139"/>
      <c r="F20" s="150" t="str">
        <f>IF(OR(G20&lt;&gt;"",I20&lt;&gt;""),$A$14&amp;"."&amp;(ROW(G20)-12)/2,"")</f>
        <v/>
      </c>
      <c r="G20" s="137"/>
      <c r="H20" s="137"/>
      <c r="I20" s="137"/>
      <c r="J20" s="137"/>
      <c r="K20" s="146"/>
      <c r="L20" s="146"/>
      <c r="M20" s="146" t="str">
        <f>IF(F20&lt;&gt;"",IF(O20="R.I.F.",10,
                          IF(OR(LEFT($B$14,4)="100%",$B$14="OLEAR COM ÓLEO PROTETIVO",$B$14="MAGNAFLUX",$B$14="DESEMPENAR"),"100%",
                          IF(OR(P20="C",P20="E"),4,IF(P20="D",6,2)))),"")</f>
        <v/>
      </c>
      <c r="N20" s="146"/>
      <c r="O20" s="146" t="str">
        <f>IF(F20&lt;&gt;"",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20" s="259"/>
      <c r="Q20" s="152" t="str">
        <f>IF(F20&lt;&gt;"","IT 9.4.9.","")</f>
        <v/>
      </c>
      <c r="U20" s="41"/>
    </row>
    <row r="21" spans="1:21" ht="12.75" customHeight="1">
      <c r="A21" s="261"/>
      <c r="B21" s="140"/>
      <c r="C21" s="141"/>
      <c r="D21" s="140"/>
      <c r="E21" s="141"/>
      <c r="F21" s="150"/>
      <c r="G21" s="137"/>
      <c r="H21" s="137"/>
      <c r="I21" s="137"/>
      <c r="J21" s="137"/>
      <c r="K21" s="147"/>
      <c r="L21" s="147"/>
      <c r="M21" s="147"/>
      <c r="N21" s="147"/>
      <c r="O21" s="147"/>
      <c r="P21" s="260"/>
      <c r="Q21" s="153"/>
      <c r="U21" s="42"/>
    </row>
    <row r="22" spans="1:21" ht="12.75" customHeight="1">
      <c r="A22" s="136"/>
      <c r="B22" s="138"/>
      <c r="C22" s="139"/>
      <c r="D22" s="137"/>
      <c r="E22" s="137"/>
      <c r="F22" s="150" t="str">
        <f>IF(OR(G22&lt;&gt;"",I22&lt;&gt;""),$A$14&amp;"."&amp;(ROW(G22)-12)/2,"")</f>
        <v/>
      </c>
      <c r="G22" s="137"/>
      <c r="H22" s="137"/>
      <c r="I22" s="137"/>
      <c r="J22" s="137"/>
      <c r="K22" s="137"/>
      <c r="L22" s="146"/>
      <c r="M22" s="146" t="str">
        <f>IF(F22&lt;&gt;"",IF(O22="R.I.F.",10,
                          IF(OR(LEFT($B$14,4)="100%",$B$14="OLEAR COM ÓLEO PROTETIVO",$B$14="MAGNAFLUX",$B$14="DESEMPENAR"),"100%",
                          IF(OR(P22="C",P22="E"),4,IF(P22="D",6,2)))),"")</f>
        <v/>
      </c>
      <c r="N22" s="146"/>
      <c r="O22" s="146" t="str">
        <f>IF(F22&lt;&gt;"",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22" s="259"/>
      <c r="Q22" s="152" t="str">
        <f>IF(F22&lt;&gt;"","IT 9.4.9.","")</f>
        <v/>
      </c>
      <c r="U22" s="41"/>
    </row>
    <row r="23" spans="1:21" ht="12.75" customHeight="1">
      <c r="A23" s="136"/>
      <c r="B23" s="140"/>
      <c r="C23" s="141"/>
      <c r="D23" s="137"/>
      <c r="E23" s="137"/>
      <c r="F23" s="150"/>
      <c r="G23" s="146"/>
      <c r="H23" s="146"/>
      <c r="I23" s="146"/>
      <c r="J23" s="146"/>
      <c r="K23" s="146"/>
      <c r="L23" s="147"/>
      <c r="M23" s="147"/>
      <c r="N23" s="147"/>
      <c r="O23" s="147"/>
      <c r="P23" s="260"/>
      <c r="Q23" s="153"/>
      <c r="U23" s="42"/>
    </row>
    <row r="24" spans="1:21" ht="12.75" customHeight="1">
      <c r="A24" s="136"/>
      <c r="B24" s="138"/>
      <c r="C24" s="139"/>
      <c r="D24" s="137"/>
      <c r="E24" s="137"/>
      <c r="F24" s="150" t="str">
        <f>IF(OR(G24&lt;&gt;"",I24&lt;&gt;""),$A$14&amp;"."&amp;(ROW(G24)-12)/2,"")</f>
        <v/>
      </c>
      <c r="G24" s="137"/>
      <c r="H24" s="137"/>
      <c r="I24" s="137"/>
      <c r="J24" s="137"/>
      <c r="K24" s="137"/>
      <c r="L24" s="146"/>
      <c r="M24" s="146" t="str">
        <f>IF(F24&lt;&gt;"",IF(O24="R.I.F.",10,
                          IF(OR(LEFT($B$14,4)="100%",$B$14="OLEAR COM ÓLEO PROTETIVO",$B$14="MAGNAFLUX",$B$14="DESEMPENAR"),"100%",
                          IF(OR(P24="C",P24="E"),4,IF(P24="D",6,2)))),"")</f>
        <v/>
      </c>
      <c r="N24" s="146"/>
      <c r="O24" s="146" t="str">
        <f>IF(F24&lt;&gt;"",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24" s="259"/>
      <c r="Q24" s="152" t="str">
        <f>IF(F24&lt;&gt;"","IT 9.4.9.","")</f>
        <v/>
      </c>
      <c r="U24" s="41"/>
    </row>
    <row r="25" spans="1:21" ht="12.75" customHeight="1">
      <c r="A25" s="136"/>
      <c r="B25" s="140"/>
      <c r="C25" s="141"/>
      <c r="D25" s="137"/>
      <c r="E25" s="137"/>
      <c r="F25" s="150"/>
      <c r="G25" s="146"/>
      <c r="H25" s="146"/>
      <c r="I25" s="146"/>
      <c r="J25" s="146"/>
      <c r="K25" s="146"/>
      <c r="L25" s="147"/>
      <c r="M25" s="147"/>
      <c r="N25" s="147"/>
      <c r="O25" s="147"/>
      <c r="P25" s="260"/>
      <c r="Q25" s="153"/>
      <c r="U25" s="42"/>
    </row>
    <row r="26" spans="1:21" ht="12.75" customHeight="1">
      <c r="A26" s="136"/>
      <c r="B26" s="138"/>
      <c r="C26" s="139"/>
      <c r="D26" s="137"/>
      <c r="E26" s="137"/>
      <c r="F26" s="150" t="str">
        <f>IF(OR(G26&lt;&gt;"",I26&lt;&gt;""),$A$14&amp;"."&amp;(ROW(G26)-12)/2,"")</f>
        <v/>
      </c>
      <c r="G26" s="137"/>
      <c r="H26" s="137"/>
      <c r="I26" s="137"/>
      <c r="J26" s="137"/>
      <c r="K26" s="137"/>
      <c r="L26" s="146"/>
      <c r="M26" s="146" t="str">
        <f>IF(F26&lt;&gt;"",IF(O26="R.I.F.",10,
                          IF(OR(LEFT($B$14,4)="100%",$B$14="OLEAR COM ÓLEO PROTETIVO",$B$14="MAGNAFLUX",$B$14="DESEMPENAR"),"100%",
                          IF(OR(P26="C",P26="E"),4,IF(P26="D",6,2)))),"")</f>
        <v/>
      </c>
      <c r="N26" s="146"/>
      <c r="O26" s="146" t="str">
        <f>IF(F26&lt;&gt;"",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26" s="259"/>
      <c r="Q26" s="152" t="str">
        <f>IF(F26&lt;&gt;"","IT 9.4.9.","")</f>
        <v/>
      </c>
      <c r="U26" s="41"/>
    </row>
    <row r="27" spans="1:21" ht="12.75" customHeight="1">
      <c r="A27" s="136"/>
      <c r="B27" s="140"/>
      <c r="C27" s="141"/>
      <c r="D27" s="137"/>
      <c r="E27" s="137"/>
      <c r="F27" s="150"/>
      <c r="G27" s="146"/>
      <c r="H27" s="146"/>
      <c r="I27" s="146"/>
      <c r="J27" s="146"/>
      <c r="K27" s="146"/>
      <c r="L27" s="147"/>
      <c r="M27" s="147"/>
      <c r="N27" s="147"/>
      <c r="O27" s="147"/>
      <c r="P27" s="260"/>
      <c r="Q27" s="153"/>
      <c r="U27" s="42"/>
    </row>
    <row r="28" spans="1:21" ht="12.75" customHeight="1">
      <c r="A28" s="136"/>
      <c r="B28" s="138"/>
      <c r="C28" s="139"/>
      <c r="D28" s="137"/>
      <c r="E28" s="137"/>
      <c r="F28" s="150" t="str">
        <f>IF(OR(G28&lt;&gt;"",I28&lt;&gt;""),$A$14&amp;"."&amp;(ROW(G28)-12)/2,"")</f>
        <v/>
      </c>
      <c r="G28" s="138"/>
      <c r="H28" s="139"/>
      <c r="I28" s="137"/>
      <c r="J28" s="137"/>
      <c r="K28" s="146"/>
      <c r="L28" s="146"/>
      <c r="M28" s="146" t="str">
        <f>IF(F28&lt;&gt;"",IF(O28="R.I.F.",10,
                          IF(OR(LEFT($B$14,4)="100%",$B$14="OLEAR COM ÓLEO PROTETIVO",$B$14="MAGNAFLUX",$B$14="DESEMPENAR"),"100%",
                          IF(OR(P28="C",P28="E"),4,IF(P28="D",6,2)))),"")</f>
        <v/>
      </c>
      <c r="N28" s="146"/>
      <c r="O28" s="146" t="str">
        <f>IF(F28&lt;&gt;"",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28" s="259"/>
      <c r="Q28" s="152" t="str">
        <f>IF(F28&lt;&gt;"","IT 9.4.9.","")</f>
        <v/>
      </c>
      <c r="U28" s="41"/>
    </row>
    <row r="29" spans="1:21" ht="12.75" customHeight="1">
      <c r="A29" s="136"/>
      <c r="B29" s="140"/>
      <c r="C29" s="141"/>
      <c r="D29" s="137"/>
      <c r="E29" s="137"/>
      <c r="F29" s="150"/>
      <c r="G29" s="140"/>
      <c r="H29" s="141"/>
      <c r="I29" s="137"/>
      <c r="J29" s="137"/>
      <c r="K29" s="147"/>
      <c r="L29" s="147"/>
      <c r="M29" s="147"/>
      <c r="N29" s="147"/>
      <c r="O29" s="147"/>
      <c r="P29" s="260"/>
      <c r="Q29" s="153"/>
      <c r="U29" s="43"/>
    </row>
    <row r="30" spans="1:21" ht="12.75" customHeight="1">
      <c r="A30" s="136"/>
      <c r="B30" s="138"/>
      <c r="C30" s="139"/>
      <c r="D30" s="137"/>
      <c r="E30" s="137"/>
      <c r="F30" s="150" t="str">
        <f>IF(OR(G30&lt;&gt;"",I30&lt;&gt;""),$A$14&amp;"."&amp;(ROW(G30)-12)/2,"")</f>
        <v/>
      </c>
      <c r="G30" s="137"/>
      <c r="H30" s="137"/>
      <c r="I30" s="137"/>
      <c r="J30" s="137"/>
      <c r="K30" s="146"/>
      <c r="L30" s="146"/>
      <c r="M30" s="146" t="str">
        <f>IF(F30&lt;&gt;"",IF(O30="R.I.F.",10,
                          IF(OR(LEFT($B$14,4)="100%",$B$14="OLEAR COM ÓLEO PROTETIVO",$B$14="MAGNAFLUX",$B$14="DESEMPENAR"),"100%",
                          IF(OR(P30="C",P30="E"),4,IF(P30="D",6,2)))),"")</f>
        <v/>
      </c>
      <c r="N30" s="146"/>
      <c r="O30" s="146" t="str">
        <f>IF(F30&lt;&gt;"",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30" s="259"/>
      <c r="Q30" s="152" t="str">
        <f>IF(F30&lt;&gt;"","IT 9.4.9.","")</f>
        <v/>
      </c>
      <c r="U30" s="43"/>
    </row>
    <row r="31" spans="1:21" ht="12.75" customHeight="1">
      <c r="A31" s="136"/>
      <c r="B31" s="140"/>
      <c r="C31" s="141"/>
      <c r="D31" s="137"/>
      <c r="E31" s="137"/>
      <c r="F31" s="150"/>
      <c r="G31" s="137"/>
      <c r="H31" s="137"/>
      <c r="I31" s="137"/>
      <c r="J31" s="137"/>
      <c r="K31" s="147"/>
      <c r="L31" s="147"/>
      <c r="M31" s="147"/>
      <c r="N31" s="147"/>
      <c r="O31" s="147"/>
      <c r="P31" s="260"/>
      <c r="Q31" s="153"/>
      <c r="U31" s="43"/>
    </row>
    <row r="32" spans="1:21" ht="12.75" customHeight="1">
      <c r="A32" s="136"/>
      <c r="B32" s="137"/>
      <c r="C32" s="137"/>
      <c r="D32" s="137"/>
      <c r="E32" s="137"/>
      <c r="F32" s="150" t="str">
        <f>IF(OR(G32&lt;&gt;"",I32&lt;&gt;""),$A$14&amp;"."&amp;(ROW(G32)-12)/2,"")</f>
        <v/>
      </c>
      <c r="G32" s="138"/>
      <c r="H32" s="139"/>
      <c r="I32" s="137"/>
      <c r="J32" s="137"/>
      <c r="K32" s="146"/>
      <c r="L32" s="146"/>
      <c r="M32" s="146" t="str">
        <f>IF(F32&lt;&gt;"",IF(O32="R.I.F.",10,
                          IF(OR(LEFT($B$14,4)="100%",$B$14="OLEAR COM ÓLEO PROTETIVO",$B$14="MAGNAFLUX",$B$14="DESEMPENAR"),"100%",
                          IF(OR(P32="C",P32="E"),4,IF(P32="D",6,2)))),"")</f>
        <v/>
      </c>
      <c r="N32" s="146"/>
      <c r="O32" s="146" t="str">
        <f>IF(F32&lt;&gt;"",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32" s="259"/>
      <c r="Q32" s="152" t="str">
        <f>IF(F32&lt;&gt;"","IT 9.4.9.","")</f>
        <v/>
      </c>
    </row>
    <row r="33" spans="1:17" ht="12.75" customHeight="1">
      <c r="A33" s="136"/>
      <c r="B33" s="137"/>
      <c r="C33" s="137"/>
      <c r="D33" s="137"/>
      <c r="E33" s="137"/>
      <c r="F33" s="150"/>
      <c r="G33" s="140"/>
      <c r="H33" s="141"/>
      <c r="I33" s="137"/>
      <c r="J33" s="137"/>
      <c r="K33" s="147"/>
      <c r="L33" s="147"/>
      <c r="M33" s="147"/>
      <c r="N33" s="147"/>
      <c r="O33" s="147"/>
      <c r="P33" s="260"/>
      <c r="Q33" s="153"/>
    </row>
    <row r="34" spans="1:17" ht="12.75" customHeight="1">
      <c r="A34" s="136"/>
      <c r="B34" s="137"/>
      <c r="C34" s="137"/>
      <c r="D34" s="137"/>
      <c r="E34" s="137"/>
      <c r="F34" s="150" t="str">
        <f>IF(OR(G34&lt;&gt;"",I34&lt;&gt;""),$A$14&amp;"."&amp;(ROW(G34)-12)/2,"")</f>
        <v/>
      </c>
      <c r="G34" s="137"/>
      <c r="H34" s="137"/>
      <c r="I34" s="137"/>
      <c r="J34" s="137"/>
      <c r="K34" s="146"/>
      <c r="L34" s="146"/>
      <c r="M34" s="146" t="str">
        <f>IF(F34&lt;&gt;"",IF(O34="R.I.F.",10,
                          IF(OR(LEFT($B$14,4)="100%",$B$14="OLEAR COM ÓLEO PROTETIVO",$B$14="MAGNAFLUX",$B$14="DESEMPENAR"),"100%",
                          IF(OR(P34="C",P34="E"),4,IF(P34="D",6,2)))),"")</f>
        <v/>
      </c>
      <c r="N34" s="146"/>
      <c r="O34" s="146" t="str">
        <f>IF(F34&lt;&gt;"",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34" s="259"/>
      <c r="Q34" s="152" t="str">
        <f>IF(F34&lt;&gt;"","IT 9.4.9.","")</f>
        <v/>
      </c>
    </row>
    <row r="35" spans="1:17" ht="12.75" customHeight="1">
      <c r="A35" s="136"/>
      <c r="B35" s="137"/>
      <c r="C35" s="137"/>
      <c r="D35" s="137"/>
      <c r="E35" s="137"/>
      <c r="F35" s="150"/>
      <c r="G35" s="137"/>
      <c r="H35" s="137"/>
      <c r="I35" s="137"/>
      <c r="J35" s="137"/>
      <c r="K35" s="147"/>
      <c r="L35" s="147"/>
      <c r="M35" s="147"/>
      <c r="N35" s="147"/>
      <c r="O35" s="147"/>
      <c r="P35" s="260"/>
      <c r="Q35" s="153"/>
    </row>
    <row r="36" spans="1:17" ht="12.75" customHeight="1">
      <c r="A36" s="136"/>
      <c r="B36" s="137"/>
      <c r="C36" s="137"/>
      <c r="D36" s="137"/>
      <c r="E36" s="137"/>
      <c r="F36" s="150" t="str">
        <f>IF(OR(G36&lt;&gt;"",I36&lt;&gt;""),$A$14&amp;"."&amp;(ROW(G36)-12)/2,"")</f>
        <v/>
      </c>
      <c r="G36" s="138"/>
      <c r="H36" s="139"/>
      <c r="I36" s="137"/>
      <c r="J36" s="137"/>
      <c r="K36" s="146"/>
      <c r="L36" s="146"/>
      <c r="M36" s="146" t="str">
        <f>IF(F36&lt;&gt;"",IF(O36="R.I.F.",10,
                          IF(OR(LEFT($B$14,4)="100%",$B$14="OLEAR COM ÓLEO PROTETIVO",$B$14="MAGNAFLUX",$B$14="DESEMPENAR"),"100%",
                          IF(OR(P36="C",P36="E"),4,IF(P36="D",6,2)))),"")</f>
        <v/>
      </c>
      <c r="N36" s="146"/>
      <c r="O36" s="146" t="str">
        <f>IF(F36&lt;&gt;"",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36" s="259"/>
      <c r="Q36" s="152" t="str">
        <f>IF(F36&lt;&gt;"","IT 9.4.9.","")</f>
        <v/>
      </c>
    </row>
    <row r="37" spans="1:17" ht="12.75" customHeight="1">
      <c r="A37" s="136"/>
      <c r="B37" s="137"/>
      <c r="C37" s="137"/>
      <c r="D37" s="137"/>
      <c r="E37" s="137"/>
      <c r="F37" s="150"/>
      <c r="G37" s="140"/>
      <c r="H37" s="141"/>
      <c r="I37" s="137"/>
      <c r="J37" s="137"/>
      <c r="K37" s="147"/>
      <c r="L37" s="147"/>
      <c r="M37" s="147"/>
      <c r="N37" s="147"/>
      <c r="O37" s="147"/>
      <c r="P37" s="260"/>
      <c r="Q37" s="153"/>
    </row>
    <row r="38" spans="1:17" ht="12.75" customHeight="1">
      <c r="A38" s="136"/>
      <c r="B38" s="137"/>
      <c r="C38" s="137"/>
      <c r="D38" s="137"/>
      <c r="E38" s="137"/>
      <c r="F38" s="150" t="str">
        <f>IF(OR(G38&lt;&gt;"",I38&lt;&gt;""),$A$14&amp;"."&amp;(ROW(G38)-12)/2,"")</f>
        <v/>
      </c>
      <c r="G38" s="137"/>
      <c r="H38" s="137"/>
      <c r="I38" s="137"/>
      <c r="J38" s="137"/>
      <c r="K38" s="146"/>
      <c r="L38" s="146"/>
      <c r="M38" s="146" t="str">
        <f>IF(F38&lt;&gt;"",IF(O38="R.I.F.",10,
                          IF(OR(LEFT($B$14,4)="100%",$B$14="OLEAR COM ÓLEO PROTETIVO",$B$14="MAGNAFLUX",$B$14="DESEMPENAR"),"100%",
                          IF(OR(P38="C",P38="E"),4,IF(P38="D",6,2)))),"")</f>
        <v/>
      </c>
      <c r="N38" s="146"/>
      <c r="O38" s="146" t="str">
        <f>IF(F38&lt;&gt;"",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38" s="259"/>
      <c r="Q38" s="152" t="str">
        <f>IF(F38&lt;&gt;"","IT 9.4.9.","")</f>
        <v/>
      </c>
    </row>
    <row r="39" spans="1:17" ht="12.75" customHeight="1">
      <c r="A39" s="136"/>
      <c r="B39" s="137"/>
      <c r="C39" s="137"/>
      <c r="D39" s="137"/>
      <c r="E39" s="137"/>
      <c r="F39" s="150"/>
      <c r="G39" s="137"/>
      <c r="H39" s="137"/>
      <c r="I39" s="137"/>
      <c r="J39" s="137"/>
      <c r="K39" s="147"/>
      <c r="L39" s="147"/>
      <c r="M39" s="147"/>
      <c r="N39" s="147"/>
      <c r="O39" s="147"/>
      <c r="P39" s="260"/>
      <c r="Q39" s="153"/>
    </row>
    <row r="40" spans="1:17" ht="12.75" customHeight="1">
      <c r="A40" s="136"/>
      <c r="B40" s="137"/>
      <c r="C40" s="137"/>
      <c r="D40" s="137"/>
      <c r="E40" s="137"/>
      <c r="F40" s="150" t="str">
        <f>IF(OR(G40&lt;&gt;"",I40&lt;&gt;""),$A$14&amp;"."&amp;(ROW(G40)-12)/2,"")</f>
        <v/>
      </c>
      <c r="G40" s="138"/>
      <c r="H40" s="139"/>
      <c r="I40" s="138"/>
      <c r="J40" s="139"/>
      <c r="K40" s="146"/>
      <c r="L40" s="146"/>
      <c r="M40" s="146" t="str">
        <f>IF(F40&lt;&gt;"",IF(O40="R.I.F.",10,
                          IF(OR(LEFT($B$14,4)="100%",$B$14="OLEAR COM ÓLEO PROTETIVO",$B$14="MAGNAFLUX",$B$14="DESEMPENAR"),"100%",
                          IF(OR(P40="C",P40="E"),4,IF(P40="D",6,2)))),"")</f>
        <v/>
      </c>
      <c r="N40" s="146"/>
      <c r="O40" s="146" t="str">
        <f>IF(F40&lt;&gt;"",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40" s="259"/>
      <c r="Q40" s="152" t="str">
        <f>IF(F40&lt;&gt;"","IT 9.4.9.","")</f>
        <v/>
      </c>
    </row>
    <row r="41" spans="1:17" ht="12.75" customHeight="1">
      <c r="A41" s="136"/>
      <c r="B41" s="137"/>
      <c r="C41" s="137"/>
      <c r="D41" s="137"/>
      <c r="E41" s="137"/>
      <c r="F41" s="150"/>
      <c r="G41" s="140"/>
      <c r="H41" s="141"/>
      <c r="I41" s="140"/>
      <c r="J41" s="141"/>
      <c r="K41" s="147"/>
      <c r="L41" s="147"/>
      <c r="M41" s="147"/>
      <c r="N41" s="147"/>
      <c r="O41" s="147"/>
      <c r="P41" s="260"/>
      <c r="Q41" s="153"/>
    </row>
    <row r="42" spans="1:17" ht="12.75" customHeight="1">
      <c r="A42" s="136"/>
      <c r="B42" s="137"/>
      <c r="C42" s="137"/>
      <c r="D42" s="137"/>
      <c r="E42" s="137"/>
      <c r="F42" s="150" t="str">
        <f>IF(OR(G42&lt;&gt;"",I42&lt;&gt;""),$A$14&amp;"."&amp;(ROW(G42)-12)/2,"")</f>
        <v/>
      </c>
      <c r="G42" s="138"/>
      <c r="H42" s="139"/>
      <c r="I42" s="138"/>
      <c r="J42" s="139"/>
      <c r="K42" s="146"/>
      <c r="L42" s="146"/>
      <c r="M42" s="146" t="str">
        <f>IF(F42&lt;&gt;"",IF(O42="R.I.F.",10,
                          IF(OR(LEFT($B$14,4)="100%",$B$14="OLEAR COM ÓLEO PROTETIVO",$B$14="MAGNAFLUX",$B$14="DESEMPENAR"),"100%",
                          IF(OR(P42="C",P42="E"),4,IF(P42="D",6,2)))),"")</f>
        <v/>
      </c>
      <c r="N42" s="146"/>
      <c r="O42" s="146" t="str">
        <f>IF(F42&lt;&gt;"",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42" s="259"/>
      <c r="Q42" s="152" t="str">
        <f>IF(F42&lt;&gt;"","IT 9.4.9.","")</f>
        <v/>
      </c>
    </row>
    <row r="43" spans="1:17" ht="12.75" customHeight="1">
      <c r="A43" s="136"/>
      <c r="B43" s="137"/>
      <c r="C43" s="137"/>
      <c r="D43" s="137"/>
      <c r="E43" s="137"/>
      <c r="F43" s="150"/>
      <c r="G43" s="140"/>
      <c r="H43" s="141"/>
      <c r="I43" s="140"/>
      <c r="J43" s="141"/>
      <c r="K43" s="147"/>
      <c r="L43" s="147"/>
      <c r="M43" s="147"/>
      <c r="N43" s="147"/>
      <c r="O43" s="147"/>
      <c r="P43" s="260"/>
      <c r="Q43" s="153"/>
    </row>
    <row r="44" spans="1:17" ht="12.75" customHeight="1">
      <c r="A44" s="163"/>
      <c r="B44" s="138"/>
      <c r="C44" s="139"/>
      <c r="D44" s="138"/>
      <c r="E44" s="139"/>
      <c r="F44" s="150" t="str">
        <f>IF(OR(G44&lt;&gt;"",I44&lt;&gt;""),$A$14&amp;"."&amp;(ROW(G44)-12)/2,"")</f>
        <v/>
      </c>
      <c r="G44" s="137"/>
      <c r="H44" s="137"/>
      <c r="I44" s="137"/>
      <c r="J44" s="137"/>
      <c r="K44" s="137"/>
      <c r="L44" s="146"/>
      <c r="M44" s="146" t="str">
        <f>IF(F44&lt;&gt;"",IF(O44="R.I.F.",10,
                          IF(OR(LEFT($B$14,4)="100%",$B$14="OLEAR COM ÓLEO PROTETIVO",$B$14="MAGNAFLUX",$B$14="DESEMPENAR"),"100%",
                          IF(OR(P44="C",P44="E"),4,IF(P44="D",6,2)))),"")</f>
        <v/>
      </c>
      <c r="N44" s="146"/>
      <c r="O44" s="146" t="str">
        <f>IF(F44&lt;&gt;"",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44" s="259"/>
      <c r="Q44" s="152" t="str">
        <f>IF(F44&lt;&gt;"","IT 9.4.9.","")</f>
        <v/>
      </c>
    </row>
    <row r="45" spans="1:17" ht="12.75" customHeight="1">
      <c r="A45" s="261"/>
      <c r="B45" s="140"/>
      <c r="C45" s="141"/>
      <c r="D45" s="140"/>
      <c r="E45" s="141"/>
      <c r="F45" s="150"/>
      <c r="G45" s="146"/>
      <c r="H45" s="146"/>
      <c r="I45" s="146"/>
      <c r="J45" s="146"/>
      <c r="K45" s="146"/>
      <c r="L45" s="147"/>
      <c r="M45" s="147"/>
      <c r="N45" s="147"/>
      <c r="O45" s="147"/>
      <c r="P45" s="260"/>
      <c r="Q45" s="153"/>
    </row>
    <row r="46" spans="1:17" ht="12.75" customHeight="1">
      <c r="A46" s="163"/>
      <c r="B46" s="138"/>
      <c r="C46" s="139"/>
      <c r="D46" s="138"/>
      <c r="E46" s="139"/>
      <c r="F46" s="150" t="str">
        <f>IF(OR(G46&lt;&gt;"",I46&lt;&gt;""),$A$14&amp;"."&amp;(ROW(G46)-12)/2,"")</f>
        <v/>
      </c>
      <c r="G46" s="138"/>
      <c r="H46" s="139"/>
      <c r="I46" s="137"/>
      <c r="J46" s="137"/>
      <c r="K46" s="146"/>
      <c r="L46" s="146"/>
      <c r="M46" s="146" t="str">
        <f>IF(F46&lt;&gt;"",IF(O46="R.I.F.",10,
                          IF(OR(LEFT($B$14,4)="100%",$B$14="OLEAR COM ÓLEO PROTETIVO",$B$14="MAGNAFLUX",$B$14="DESEMPENAR"),"100%",
                          IF(OR(P46="C",P46="E"),4,IF(P46="D",6,2)))),"")</f>
        <v/>
      </c>
      <c r="N46" s="146"/>
      <c r="O46" s="146" t="str">
        <f>IF(F46&lt;&gt;"",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46" s="259"/>
      <c r="Q46" s="152" t="str">
        <f>IF(F46&lt;&gt;"","IT 9.4.9.","")</f>
        <v/>
      </c>
    </row>
    <row r="47" spans="1:17" ht="12.75" customHeight="1">
      <c r="A47" s="261"/>
      <c r="B47" s="140"/>
      <c r="C47" s="141"/>
      <c r="D47" s="140"/>
      <c r="E47" s="141"/>
      <c r="F47" s="150"/>
      <c r="G47" s="140"/>
      <c r="H47" s="141"/>
      <c r="I47" s="137"/>
      <c r="J47" s="137"/>
      <c r="K47" s="147"/>
      <c r="L47" s="147"/>
      <c r="M47" s="147"/>
      <c r="N47" s="147"/>
      <c r="O47" s="147"/>
      <c r="P47" s="260"/>
      <c r="Q47" s="153"/>
    </row>
    <row r="48" spans="1:17" ht="12.75" customHeight="1">
      <c r="A48" s="136"/>
      <c r="B48" s="137"/>
      <c r="C48" s="137"/>
      <c r="D48" s="137"/>
      <c r="E48" s="137"/>
      <c r="F48" s="150" t="str">
        <f>IF(OR(G48&lt;&gt;"",I48&lt;&gt;""),$A$14&amp;"."&amp;(ROW(G48)-12)/2,"")</f>
        <v/>
      </c>
      <c r="G48" s="138"/>
      <c r="H48" s="139"/>
      <c r="I48" s="137"/>
      <c r="J48" s="137"/>
      <c r="K48" s="146"/>
      <c r="L48" s="146"/>
      <c r="M48" s="146" t="str">
        <f>IF(F48&lt;&gt;"",IF(O48="R.I.F.",10,
                          IF(OR(LEFT($B$14,4)="100%",$B$14="OLEAR COM ÓLEO PROTETIVO",$B$14="MAGNAFLUX",$B$14="DESEMPENAR"),"100%",
                          IF(OR(P48="C",P48="E"),4,IF(P48="D",6,2)))),"")</f>
        <v/>
      </c>
      <c r="N48" s="146"/>
      <c r="O48" s="146" t="str">
        <f>IF(F48&lt;&gt;"",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48" s="259"/>
      <c r="Q48" s="152" t="str">
        <f>IF(F48&lt;&gt;"","IT 9.4.9.","")</f>
        <v/>
      </c>
    </row>
    <row r="49" spans="1:17" ht="12.75" customHeight="1">
      <c r="A49" s="163"/>
      <c r="B49" s="146"/>
      <c r="C49" s="146"/>
      <c r="D49" s="146"/>
      <c r="E49" s="146"/>
      <c r="F49" s="150"/>
      <c r="G49" s="140"/>
      <c r="H49" s="141"/>
      <c r="I49" s="137"/>
      <c r="J49" s="137"/>
      <c r="K49" s="147"/>
      <c r="L49" s="147"/>
      <c r="M49" s="147"/>
      <c r="N49" s="147"/>
      <c r="O49" s="147"/>
      <c r="P49" s="260"/>
      <c r="Q49" s="153"/>
    </row>
    <row r="50" spans="1:17" ht="12.75" customHeight="1">
      <c r="A50" s="136"/>
      <c r="B50" s="137"/>
      <c r="C50" s="137"/>
      <c r="D50" s="137"/>
      <c r="E50" s="137"/>
      <c r="F50" s="150" t="str">
        <f>IF(OR(G50&lt;&gt;"",I50&lt;&gt;""),$A$14&amp;"."&amp;(ROW(G50)-12)/2,"")</f>
        <v/>
      </c>
      <c r="G50" s="137"/>
      <c r="H50" s="137"/>
      <c r="I50" s="137"/>
      <c r="J50" s="137"/>
      <c r="K50" s="146"/>
      <c r="L50" s="146"/>
      <c r="M50" s="146" t="str">
        <f>IF(F50&lt;&gt;"",IF(O50="R.I.F.",10,
                          IF(OR(LEFT($B$14,4)="100%",$B$14="OLEAR COM ÓLEO PROTETIVO",$B$14="MAGNAFLUX",$B$14="DESEMPENAR"),"100%",
                          IF(OR(P50="C",P50="E"),4,IF(P50="D",6,2)))),"")</f>
        <v/>
      </c>
      <c r="N50" s="146"/>
      <c r="O50" s="146" t="str">
        <f>IF(F50&lt;&gt;"",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50" s="259"/>
      <c r="Q50" s="152" t="str">
        <f>IF(F50&lt;&gt;"","IT 9.4.9.","")</f>
        <v/>
      </c>
    </row>
    <row r="51" spans="1:17" ht="12.75" customHeight="1">
      <c r="A51" s="163"/>
      <c r="B51" s="146"/>
      <c r="C51" s="146"/>
      <c r="D51" s="146"/>
      <c r="E51" s="146"/>
      <c r="F51" s="150"/>
      <c r="G51" s="146"/>
      <c r="H51" s="146"/>
      <c r="I51" s="146"/>
      <c r="J51" s="146"/>
      <c r="K51" s="147"/>
      <c r="L51" s="147"/>
      <c r="M51" s="147"/>
      <c r="N51" s="147"/>
      <c r="O51" s="147"/>
      <c r="P51" s="260"/>
      <c r="Q51" s="153"/>
    </row>
    <row r="52" spans="1:17" ht="12.75" customHeight="1">
      <c r="A52" s="136"/>
      <c r="B52" s="137"/>
      <c r="C52" s="137"/>
      <c r="D52" s="137"/>
      <c r="E52" s="137"/>
      <c r="F52" s="150" t="str">
        <f>IF(OR(G52&lt;&gt;"",I52&lt;&gt;""),$A$14&amp;"."&amp;(ROW(G52)-12)/2,"")</f>
        <v/>
      </c>
      <c r="G52" s="137"/>
      <c r="H52" s="137"/>
      <c r="I52" s="137"/>
      <c r="J52" s="137"/>
      <c r="K52" s="137"/>
      <c r="L52" s="146"/>
      <c r="M52" s="146" t="str">
        <f>IF(F52&lt;&gt;"",IF(O52="R.I.F.",10,
                          IF(OR(LEFT($B$14,4)="100%",$B$14="OLEAR COM ÓLEO PROTETIVO",$B$14="MAGNAFLUX",$B$14="DESEMPENAR"),"100%",
                          IF(OR(P52="C",P52="E"),4,IF(P52="D",6,2)))),"")</f>
        <v/>
      </c>
      <c r="N52" s="146"/>
      <c r="O52" s="146" t="str">
        <f>IF(F52&lt;&gt;"",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52" s="259"/>
      <c r="Q52" s="152" t="str">
        <f>IF(F52&lt;&gt;"","IT 9.4.9.","")</f>
        <v/>
      </c>
    </row>
    <row r="53" spans="1:17" ht="12.75" customHeight="1">
      <c r="A53" s="163"/>
      <c r="B53" s="146"/>
      <c r="C53" s="146"/>
      <c r="D53" s="146"/>
      <c r="E53" s="146"/>
      <c r="F53" s="150"/>
      <c r="G53" s="146"/>
      <c r="H53" s="146"/>
      <c r="I53" s="146"/>
      <c r="J53" s="146"/>
      <c r="K53" s="146"/>
      <c r="L53" s="147"/>
      <c r="M53" s="147"/>
      <c r="N53" s="147"/>
      <c r="O53" s="147"/>
      <c r="P53" s="260"/>
      <c r="Q53" s="153"/>
    </row>
    <row r="54" spans="1:17" ht="12.75" customHeight="1">
      <c r="A54" s="136"/>
      <c r="B54" s="137"/>
      <c r="C54" s="137"/>
      <c r="D54" s="137"/>
      <c r="E54" s="137"/>
      <c r="F54" s="150" t="str">
        <f>IF(OR(G54&lt;&gt;"",I54&lt;&gt;""),$A$14&amp;"."&amp;(ROW(G54)-12)/2,"")</f>
        <v/>
      </c>
      <c r="G54" s="137"/>
      <c r="H54" s="137"/>
      <c r="I54" s="137"/>
      <c r="J54" s="137"/>
      <c r="K54" s="146"/>
      <c r="L54" s="137"/>
      <c r="M54" s="146" t="str">
        <f>IF(F54&lt;&gt;"",IF(O54="R.I.F.",10,
                          IF(OR(LEFT($B$14,4)="100%",$B$14="OLEAR COM ÓLEO PROTETIVO",$B$14="MAGNAFLUX",$B$14="DESEMPENAR"),"100%",
                          IF(OR(P54="C",P54="E"),4,IF(P54="D",6,2)))),"")</f>
        <v/>
      </c>
      <c r="N54" s="146"/>
      <c r="O54" s="146" t="str">
        <f>IF(F54&lt;&gt;"",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54" s="259"/>
      <c r="Q54" s="152" t="str">
        <f>IF(F54&lt;&gt;"","IT 9.4.9.","")</f>
        <v/>
      </c>
    </row>
    <row r="55" spans="1:17" ht="12.75" customHeight="1">
      <c r="A55" s="136"/>
      <c r="B55" s="137"/>
      <c r="C55" s="137"/>
      <c r="D55" s="137"/>
      <c r="E55" s="137"/>
      <c r="F55" s="150"/>
      <c r="G55" s="137"/>
      <c r="H55" s="137"/>
      <c r="I55" s="137"/>
      <c r="J55" s="137"/>
      <c r="K55" s="147"/>
      <c r="L55" s="137"/>
      <c r="M55" s="147"/>
      <c r="N55" s="147"/>
      <c r="O55" s="147"/>
      <c r="P55" s="260"/>
      <c r="Q55" s="153"/>
    </row>
    <row r="56" spans="1:17" ht="12.75" customHeight="1">
      <c r="A56" s="136"/>
      <c r="B56" s="137"/>
      <c r="C56" s="137"/>
      <c r="D56" s="137"/>
      <c r="E56" s="137"/>
      <c r="F56" s="150" t="str">
        <f>IF(OR(G56&lt;&gt;"",I56&lt;&gt;""),$A$14&amp;"."&amp;(ROW(G56)-12)/2,"")</f>
        <v/>
      </c>
      <c r="G56" s="137"/>
      <c r="H56" s="137"/>
      <c r="I56" s="137"/>
      <c r="J56" s="137"/>
      <c r="K56" s="137"/>
      <c r="L56" s="137"/>
      <c r="M56" s="146" t="str">
        <f>IF(F56&lt;&gt;"",IF(O56="R.I.F.",10,
                          IF(OR(LEFT($B$14,4)="100%",$B$14="OLEAR COM ÓLEO PROTETIVO",$B$14="MAGNAFLUX",$B$14="DESEMPENAR"),"100%",
                          IF(OR(P56="C",P56="E"),4,IF(P56="D",6,2)))),"")</f>
        <v/>
      </c>
      <c r="N56" s="146"/>
      <c r="O56" s="146" t="str">
        <f>IF(F56&lt;&gt;"",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56" s="259"/>
      <c r="Q56" s="152" t="str">
        <f>IF(F56&lt;&gt;"","IT 9.4.9.","")</f>
        <v/>
      </c>
    </row>
    <row r="57" spans="1:17" ht="13.5" customHeight="1">
      <c r="A57" s="136"/>
      <c r="B57" s="137"/>
      <c r="C57" s="137"/>
      <c r="D57" s="137"/>
      <c r="E57" s="137"/>
      <c r="F57" s="150"/>
      <c r="G57" s="137"/>
      <c r="H57" s="137"/>
      <c r="I57" s="137"/>
      <c r="J57" s="137"/>
      <c r="K57" s="137"/>
      <c r="L57" s="137"/>
      <c r="M57" s="147"/>
      <c r="N57" s="147"/>
      <c r="O57" s="147"/>
      <c r="P57" s="260"/>
      <c r="Q57" s="153"/>
    </row>
    <row r="58" spans="1:17" ht="12.75" customHeight="1">
      <c r="A58" s="136"/>
      <c r="B58" s="137"/>
      <c r="C58" s="137"/>
      <c r="D58" s="137"/>
      <c r="E58" s="137"/>
      <c r="F58" s="150" t="str">
        <f>IF(OR(G58&lt;&gt;"",I58&lt;&gt;""),$A$14&amp;"."&amp;(ROW(G58)-12)/2,"")</f>
        <v/>
      </c>
      <c r="G58" s="137"/>
      <c r="H58" s="137"/>
      <c r="I58" s="137"/>
      <c r="J58" s="137"/>
      <c r="K58" s="137"/>
      <c r="L58" s="137"/>
      <c r="M58" s="146" t="str">
        <f>IF(F58&lt;&gt;"",IF(O58="R.I.F.",10,
                          IF(OR(LEFT($B$14,4)="100%",$B$14="OLEAR COM ÓLEO PROTETIVO",$B$14="MAGNAFLUX",$B$14="DESEMPENAR"),"100%",
                          IF(OR(P58="C",P58="E"),4,IF(P58="D",6,2)))),"")</f>
        <v/>
      </c>
      <c r="N58" s="146"/>
      <c r="O58" s="146" t="str">
        <f>IF(F58&lt;&gt;"",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58" s="259"/>
      <c r="Q58" s="152" t="str">
        <f>IF(F58&lt;&gt;"","IT 9.4.9.","")</f>
        <v/>
      </c>
    </row>
    <row r="59" spans="1:17" ht="13.5" customHeight="1" thickBot="1">
      <c r="A59" s="136"/>
      <c r="B59" s="137"/>
      <c r="C59" s="137"/>
      <c r="D59" s="137"/>
      <c r="E59" s="137"/>
      <c r="F59" s="150"/>
      <c r="G59" s="137"/>
      <c r="H59" s="137"/>
      <c r="I59" s="137"/>
      <c r="J59" s="137"/>
      <c r="K59" s="137"/>
      <c r="L59" s="137"/>
      <c r="M59" s="147"/>
      <c r="N59" s="147"/>
      <c r="O59" s="147"/>
      <c r="P59" s="260"/>
      <c r="Q59" s="153"/>
    </row>
    <row r="60" spans="1:17" ht="12.75" customHeight="1">
      <c r="A60" s="295" t="s">
        <v>53</v>
      </c>
      <c r="B60" s="296"/>
      <c r="C60" s="296"/>
      <c r="D60" s="296"/>
      <c r="E60" s="297"/>
      <c r="F60" s="150" t="str">
        <f>IF(OR(G60&lt;&gt;"",I60&lt;&gt;""),$A$14&amp;"."&amp;(ROW(G60)-12)/2,"")</f>
        <v/>
      </c>
      <c r="G60" s="137"/>
      <c r="H60" s="137"/>
      <c r="I60" s="137"/>
      <c r="J60" s="137"/>
      <c r="K60" s="137"/>
      <c r="L60" s="137"/>
      <c r="M60" s="146" t="str">
        <f>IF(F60&lt;&gt;"",IF(O60="R.I.F.",10,
                          IF(OR(LEFT($B$14,4)="100%",$B$14="OLEAR COM ÓLEO PROTETIVO",$B$14="MAGNAFLUX",$B$14="DESEMPENAR"),"100%",
                          IF(OR(P60="C",P60="E"),4,IF(P60="D",6,2)))),"")</f>
        <v/>
      </c>
      <c r="N60" s="146"/>
      <c r="O60" s="146" t="str">
        <f>IF(F60&lt;&gt;"",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60" s="259"/>
      <c r="Q60" s="152" t="str">
        <f>IF(F60&lt;&gt;"","IT 9.4.9.","")</f>
        <v/>
      </c>
    </row>
    <row r="61" spans="1:17" ht="12.75" customHeight="1">
      <c r="A61" s="298"/>
      <c r="B61" s="299"/>
      <c r="C61" s="299"/>
      <c r="D61" s="299"/>
      <c r="E61" s="300"/>
      <c r="F61" s="150"/>
      <c r="G61" s="137"/>
      <c r="H61" s="137"/>
      <c r="I61" s="137"/>
      <c r="J61" s="137"/>
      <c r="K61" s="137"/>
      <c r="L61" s="137"/>
      <c r="M61" s="147"/>
      <c r="N61" s="147"/>
      <c r="O61" s="147"/>
      <c r="P61" s="260"/>
      <c r="Q61" s="153"/>
    </row>
    <row r="62" spans="1:17" ht="15.75" customHeight="1">
      <c r="A62" s="37" t="s">
        <v>43</v>
      </c>
      <c r="B62" s="290" t="s">
        <v>54</v>
      </c>
      <c r="C62" s="291"/>
      <c r="D62" s="291"/>
      <c r="E62" s="292"/>
      <c r="F62" s="150" t="str">
        <f>IF(OR(G62&lt;&gt;"",I62&lt;&gt;""),$A$14&amp;"."&amp;(ROW(G62)-12)/2,"")</f>
        <v/>
      </c>
      <c r="G62" s="165"/>
      <c r="H62" s="165"/>
      <c r="I62" s="138"/>
      <c r="J62" s="139"/>
      <c r="K62" s="137"/>
      <c r="L62" s="137"/>
      <c r="M62" s="146" t="str">
        <f>IF(F62&lt;&gt;"",IF(O62="R.I.F.",10,
                          IF(OR(LEFT($B$14,4)="100%",$B$14="OLEAR COM ÓLEO PROTETIVO",$B$14="MAGNAFLUX",$B$14="DESEMPENAR"),"100%",
                          IF(OR(P62="C",P62="E"),4,IF(P62="D",6,2)))),"")</f>
        <v/>
      </c>
      <c r="N62" s="146"/>
      <c r="O62" s="146" t="str">
        <f>IF(F62&lt;&gt;"",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62" s="259"/>
      <c r="Q62" s="152" t="str">
        <f>IF(F62&lt;&gt;"","IT 9.4.9.","")</f>
        <v/>
      </c>
    </row>
    <row r="63" spans="1:17" ht="15.75" customHeight="1">
      <c r="A63" s="37" t="s">
        <v>55</v>
      </c>
      <c r="B63" s="290" t="s">
        <v>56</v>
      </c>
      <c r="C63" s="291"/>
      <c r="D63" s="291"/>
      <c r="E63" s="292"/>
      <c r="F63" s="150"/>
      <c r="G63" s="165"/>
      <c r="H63" s="165"/>
      <c r="I63" s="140"/>
      <c r="J63" s="141"/>
      <c r="K63" s="137"/>
      <c r="L63" s="137"/>
      <c r="M63" s="147"/>
      <c r="N63" s="147"/>
      <c r="O63" s="147"/>
      <c r="P63" s="260"/>
      <c r="Q63" s="153"/>
    </row>
    <row r="64" spans="1:17" ht="15.75" customHeight="1">
      <c r="A64" s="37" t="s">
        <v>52</v>
      </c>
      <c r="B64" s="290" t="s">
        <v>57</v>
      </c>
      <c r="C64" s="291"/>
      <c r="D64" s="291"/>
      <c r="E64" s="292"/>
      <c r="F64" s="150" t="str">
        <f>IF(OR(G64&lt;&gt;"",I64&lt;&gt;""),$A$14&amp;"."&amp;(ROW(G64)-12)/2,"")</f>
        <v/>
      </c>
      <c r="G64" s="165"/>
      <c r="H64" s="165"/>
      <c r="I64" s="137"/>
      <c r="J64" s="137"/>
      <c r="K64" s="137"/>
      <c r="L64" s="137"/>
      <c r="M64" s="146" t="str">
        <f>IF(F64&lt;&gt;"",IF(O64="R.I.F.",10,
                          IF(OR(LEFT($B$14,4)="100%",$B$14="OLEAR COM ÓLEO PROTETIVO",$B$14="MAGNAFLUX",$B$14="DESEMPENAR"),"100%",
                          IF(OR(P64="C",P64="E"),4,IF(P64="D",6,2)))),"")</f>
        <v/>
      </c>
      <c r="N64" s="137"/>
      <c r="O64" s="146" t="str">
        <f>IF(F64&lt;&gt;"",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64" s="303"/>
      <c r="Q64" s="152" t="str">
        <f>IF(F64&lt;&gt;"","IT 9.4.9.","")</f>
        <v/>
      </c>
    </row>
    <row r="65" spans="1:17" ht="13.5" customHeight="1" thickBot="1">
      <c r="A65" s="7"/>
      <c r="B65" s="8"/>
      <c r="C65" s="8"/>
      <c r="D65" s="8"/>
      <c r="E65" s="9"/>
      <c r="F65" s="150"/>
      <c r="G65" s="447"/>
      <c r="H65" s="447"/>
      <c r="I65" s="151"/>
      <c r="J65" s="151"/>
      <c r="K65" s="151"/>
      <c r="L65" s="151"/>
      <c r="M65" s="147"/>
      <c r="N65" s="151"/>
      <c r="O65" s="147"/>
      <c r="P65" s="304"/>
      <c r="Q65" s="153"/>
    </row>
  </sheetData>
  <sheetProtection sheet="1" formatCells="0" formatRows="0" insertRows="0" insertHyperlinks="0" deleteRows="0"/>
  <protectedRanges>
    <protectedRange sqref="Q4" name="Intervalo3"/>
    <protectedRange sqref="A14:A17 D56:E57 G18:L63 N18:N63 M18:M65 P18:P63 O18:O65 Q18:Q65" name="Intervalo1"/>
    <protectedRange sqref="A20:E45" name="Intervalo2"/>
    <protectedRange sqref="B14:E17 G14:Q17" name="Intervalo1_1"/>
  </protectedRanges>
  <dataConsolidate/>
  <mergeCells count="379">
    <mergeCell ref="P64:P65"/>
    <mergeCell ref="Q64:Q65"/>
    <mergeCell ref="B63:E63"/>
    <mergeCell ref="B64:E64"/>
    <mergeCell ref="F64:F65"/>
    <mergeCell ref="G64:H65"/>
    <mergeCell ref="I64:J65"/>
    <mergeCell ref="K64:K65"/>
    <mergeCell ref="L62:L63"/>
    <mergeCell ref="M62:M63"/>
    <mergeCell ref="N62:N63"/>
    <mergeCell ref="O62:O63"/>
    <mergeCell ref="P62:P63"/>
    <mergeCell ref="Q62:Q63"/>
    <mergeCell ref="B62:E62"/>
    <mergeCell ref="F62:F63"/>
    <mergeCell ref="G62:H63"/>
    <mergeCell ref="I62:J63"/>
    <mergeCell ref="K62:K63"/>
    <mergeCell ref="L64:L65"/>
    <mergeCell ref="M64:M65"/>
    <mergeCell ref="N64:N65"/>
    <mergeCell ref="O64:O65"/>
    <mergeCell ref="N58:N59"/>
    <mergeCell ref="O58:O59"/>
    <mergeCell ref="P58:P59"/>
    <mergeCell ref="Q58:Q59"/>
    <mergeCell ref="A60:E61"/>
    <mergeCell ref="F60:F61"/>
    <mergeCell ref="G60:H61"/>
    <mergeCell ref="I60:J61"/>
    <mergeCell ref="K60:K61"/>
    <mergeCell ref="L60:L61"/>
    <mergeCell ref="M60:M61"/>
    <mergeCell ref="N60:N61"/>
    <mergeCell ref="O60:O61"/>
    <mergeCell ref="P60:P61"/>
    <mergeCell ref="Q60:Q61"/>
    <mergeCell ref="A58:A59"/>
    <mergeCell ref="B58:C59"/>
    <mergeCell ref="D58:E59"/>
    <mergeCell ref="F58:F59"/>
    <mergeCell ref="G58:H59"/>
    <mergeCell ref="I58:J59"/>
    <mergeCell ref="K58:K59"/>
    <mergeCell ref="L58:L59"/>
    <mergeCell ref="M58:M59"/>
    <mergeCell ref="N54:N55"/>
    <mergeCell ref="O54:O55"/>
    <mergeCell ref="P54:P55"/>
    <mergeCell ref="Q54:Q55"/>
    <mergeCell ref="A56:A57"/>
    <mergeCell ref="B56:C57"/>
    <mergeCell ref="D56:E57"/>
    <mergeCell ref="F56:F57"/>
    <mergeCell ref="G56:H57"/>
    <mergeCell ref="I56:J57"/>
    <mergeCell ref="Q56:Q57"/>
    <mergeCell ref="K56:K57"/>
    <mergeCell ref="L56:L57"/>
    <mergeCell ref="M56:M57"/>
    <mergeCell ref="N56:N57"/>
    <mergeCell ref="O56:O57"/>
    <mergeCell ref="P56:P57"/>
    <mergeCell ref="A54:A55"/>
    <mergeCell ref="B54:C55"/>
    <mergeCell ref="D54:E55"/>
    <mergeCell ref="F54:F55"/>
    <mergeCell ref="G54:H55"/>
    <mergeCell ref="I54:J55"/>
    <mergeCell ref="K54:K55"/>
    <mergeCell ref="L54:L55"/>
    <mergeCell ref="M54:M55"/>
    <mergeCell ref="N50:N51"/>
    <mergeCell ref="O50:O51"/>
    <mergeCell ref="P50:P51"/>
    <mergeCell ref="Q50:Q51"/>
    <mergeCell ref="A52:A53"/>
    <mergeCell ref="B52:C53"/>
    <mergeCell ref="D52:E53"/>
    <mergeCell ref="F52:F53"/>
    <mergeCell ref="G52:H53"/>
    <mergeCell ref="I52:J53"/>
    <mergeCell ref="Q52:Q53"/>
    <mergeCell ref="K52:K53"/>
    <mergeCell ref="L52:L53"/>
    <mergeCell ref="M52:M53"/>
    <mergeCell ref="N52:N53"/>
    <mergeCell ref="O52:O53"/>
    <mergeCell ref="P52:P53"/>
    <mergeCell ref="A50:A51"/>
    <mergeCell ref="B50:C51"/>
    <mergeCell ref="D50:E51"/>
    <mergeCell ref="F50:F51"/>
    <mergeCell ref="G50:H51"/>
    <mergeCell ref="I50:J51"/>
    <mergeCell ref="K50:K51"/>
    <mergeCell ref="L50:L51"/>
    <mergeCell ref="M50:M51"/>
    <mergeCell ref="N46:N47"/>
    <mergeCell ref="O46:O47"/>
    <mergeCell ref="P46:P47"/>
    <mergeCell ref="Q46:Q47"/>
    <mergeCell ref="A48:A49"/>
    <mergeCell ref="B48:C49"/>
    <mergeCell ref="D48:E49"/>
    <mergeCell ref="F48:F49"/>
    <mergeCell ref="G48:H49"/>
    <mergeCell ref="I48:J49"/>
    <mergeCell ref="Q48:Q49"/>
    <mergeCell ref="K48:K49"/>
    <mergeCell ref="L48:L49"/>
    <mergeCell ref="M48:M49"/>
    <mergeCell ref="N48:N49"/>
    <mergeCell ref="O48:O49"/>
    <mergeCell ref="P48:P49"/>
    <mergeCell ref="A46:A47"/>
    <mergeCell ref="B46:C47"/>
    <mergeCell ref="D46:E47"/>
    <mergeCell ref="F46:F47"/>
    <mergeCell ref="G46:H47"/>
    <mergeCell ref="I46:J47"/>
    <mergeCell ref="K46:K47"/>
    <mergeCell ref="L46:L47"/>
    <mergeCell ref="M46:M47"/>
    <mergeCell ref="N42:N43"/>
    <mergeCell ref="O42:O43"/>
    <mergeCell ref="P42:P43"/>
    <mergeCell ref="Q42:Q43"/>
    <mergeCell ref="A44:A45"/>
    <mergeCell ref="B44:C45"/>
    <mergeCell ref="D44:E45"/>
    <mergeCell ref="F44:F45"/>
    <mergeCell ref="G44:H45"/>
    <mergeCell ref="I44:J45"/>
    <mergeCell ref="Q44:Q45"/>
    <mergeCell ref="K44:K45"/>
    <mergeCell ref="L44:L45"/>
    <mergeCell ref="M44:M45"/>
    <mergeCell ref="N44:N45"/>
    <mergeCell ref="O44:O45"/>
    <mergeCell ref="P44:P45"/>
    <mergeCell ref="A42:A43"/>
    <mergeCell ref="B42:C43"/>
    <mergeCell ref="D42:E43"/>
    <mergeCell ref="F42:F43"/>
    <mergeCell ref="G42:H43"/>
    <mergeCell ref="I42:J43"/>
    <mergeCell ref="K42:K43"/>
    <mergeCell ref="L42:L43"/>
    <mergeCell ref="M42:M43"/>
    <mergeCell ref="N38:N39"/>
    <mergeCell ref="O38:O39"/>
    <mergeCell ref="P38:P39"/>
    <mergeCell ref="Q38:Q39"/>
    <mergeCell ref="A40:A41"/>
    <mergeCell ref="B40:C41"/>
    <mergeCell ref="D40:E41"/>
    <mergeCell ref="F40:F41"/>
    <mergeCell ref="G40:H41"/>
    <mergeCell ref="I40:J41"/>
    <mergeCell ref="Q40:Q41"/>
    <mergeCell ref="K40:K41"/>
    <mergeCell ref="L40:L41"/>
    <mergeCell ref="M40:M41"/>
    <mergeCell ref="N40:N41"/>
    <mergeCell ref="O40:O41"/>
    <mergeCell ref="P40:P41"/>
    <mergeCell ref="A38:A39"/>
    <mergeCell ref="B38:C39"/>
    <mergeCell ref="D38:E39"/>
    <mergeCell ref="F38:F39"/>
    <mergeCell ref="G38:H39"/>
    <mergeCell ref="I38:J39"/>
    <mergeCell ref="K38:K39"/>
    <mergeCell ref="L38:L39"/>
    <mergeCell ref="M38:M39"/>
    <mergeCell ref="N34:N35"/>
    <mergeCell ref="O34:O35"/>
    <mergeCell ref="P34:P35"/>
    <mergeCell ref="Q34:Q35"/>
    <mergeCell ref="A36:A37"/>
    <mergeCell ref="B36:C37"/>
    <mergeCell ref="D36:E37"/>
    <mergeCell ref="F36:F37"/>
    <mergeCell ref="G36:H37"/>
    <mergeCell ref="I36:J37"/>
    <mergeCell ref="Q36:Q37"/>
    <mergeCell ref="K36:K37"/>
    <mergeCell ref="L36:L37"/>
    <mergeCell ref="M36:M37"/>
    <mergeCell ref="N36:N37"/>
    <mergeCell ref="O36:O37"/>
    <mergeCell ref="P36:P37"/>
    <mergeCell ref="A34:A35"/>
    <mergeCell ref="B34:C35"/>
    <mergeCell ref="D34:E35"/>
    <mergeCell ref="F34:F35"/>
    <mergeCell ref="G34:H35"/>
    <mergeCell ref="I34:J35"/>
    <mergeCell ref="K34:K35"/>
    <mergeCell ref="L34:L35"/>
    <mergeCell ref="M34:M35"/>
    <mergeCell ref="N30:N31"/>
    <mergeCell ref="O30:O31"/>
    <mergeCell ref="P30:P31"/>
    <mergeCell ref="Q30:Q31"/>
    <mergeCell ref="A32:A33"/>
    <mergeCell ref="B32:C33"/>
    <mergeCell ref="D32:E33"/>
    <mergeCell ref="F32:F33"/>
    <mergeCell ref="G32:H33"/>
    <mergeCell ref="I32:J33"/>
    <mergeCell ref="Q32:Q33"/>
    <mergeCell ref="K32:K33"/>
    <mergeCell ref="L32:L33"/>
    <mergeCell ref="M32:M33"/>
    <mergeCell ref="N32:N33"/>
    <mergeCell ref="O32:O33"/>
    <mergeCell ref="P32:P33"/>
    <mergeCell ref="A30:A31"/>
    <mergeCell ref="B30:C31"/>
    <mergeCell ref="D30:E31"/>
    <mergeCell ref="F30:F31"/>
    <mergeCell ref="G30:H31"/>
    <mergeCell ref="I30:J31"/>
    <mergeCell ref="K30:K31"/>
    <mergeCell ref="L30:L31"/>
    <mergeCell ref="M30:M31"/>
    <mergeCell ref="N26:N27"/>
    <mergeCell ref="O26:O27"/>
    <mergeCell ref="P26:P27"/>
    <mergeCell ref="Q26:Q27"/>
    <mergeCell ref="A28:A29"/>
    <mergeCell ref="B28:C29"/>
    <mergeCell ref="D28:E29"/>
    <mergeCell ref="F28:F29"/>
    <mergeCell ref="G28:H29"/>
    <mergeCell ref="I28:J29"/>
    <mergeCell ref="Q28:Q29"/>
    <mergeCell ref="K28:K29"/>
    <mergeCell ref="L28:L29"/>
    <mergeCell ref="M28:M29"/>
    <mergeCell ref="N28:N29"/>
    <mergeCell ref="O28:O29"/>
    <mergeCell ref="P28:P29"/>
    <mergeCell ref="A26:A27"/>
    <mergeCell ref="B26:C27"/>
    <mergeCell ref="D26:E27"/>
    <mergeCell ref="F26:F27"/>
    <mergeCell ref="G26:H27"/>
    <mergeCell ref="I26:J27"/>
    <mergeCell ref="K26:K27"/>
    <mergeCell ref="L26:L27"/>
    <mergeCell ref="M26:M27"/>
    <mergeCell ref="Q22:Q23"/>
    <mergeCell ref="A24:A25"/>
    <mergeCell ref="B24:C25"/>
    <mergeCell ref="D24:E25"/>
    <mergeCell ref="F24:F25"/>
    <mergeCell ref="G24:H25"/>
    <mergeCell ref="I24:J25"/>
    <mergeCell ref="Q24:Q25"/>
    <mergeCell ref="K24:K25"/>
    <mergeCell ref="L24:L25"/>
    <mergeCell ref="M24:M25"/>
    <mergeCell ref="N24:N25"/>
    <mergeCell ref="O24:O25"/>
    <mergeCell ref="P24:P25"/>
    <mergeCell ref="A22:A23"/>
    <mergeCell ref="B22:C23"/>
    <mergeCell ref="D22:E23"/>
    <mergeCell ref="F22:F23"/>
    <mergeCell ref="G22:H23"/>
    <mergeCell ref="I22:J23"/>
    <mergeCell ref="K22:K23"/>
    <mergeCell ref="L22:L23"/>
    <mergeCell ref="M22:M23"/>
    <mergeCell ref="D16:E17"/>
    <mergeCell ref="F16:F17"/>
    <mergeCell ref="G16:H17"/>
    <mergeCell ref="I16:J17"/>
    <mergeCell ref="N18:N19"/>
    <mergeCell ref="O18:O19"/>
    <mergeCell ref="P18:P19"/>
    <mergeCell ref="N22:N23"/>
    <mergeCell ref="O22:O23"/>
    <mergeCell ref="P22:P23"/>
    <mergeCell ref="Q18:Q19"/>
    <mergeCell ref="A20:A21"/>
    <mergeCell ref="B20:C21"/>
    <mergeCell ref="D20:E21"/>
    <mergeCell ref="F20:F21"/>
    <mergeCell ref="G20:H21"/>
    <mergeCell ref="I20:J21"/>
    <mergeCell ref="Q20:Q21"/>
    <mergeCell ref="K20:K21"/>
    <mergeCell ref="L20:L21"/>
    <mergeCell ref="M20:M21"/>
    <mergeCell ref="N20:N21"/>
    <mergeCell ref="O20:O21"/>
    <mergeCell ref="P20:P21"/>
    <mergeCell ref="P14:P15"/>
    <mergeCell ref="Q14:Q15"/>
    <mergeCell ref="Q12:Q13"/>
    <mergeCell ref="G13:H13"/>
    <mergeCell ref="I13:J13"/>
    <mergeCell ref="P12:P13"/>
    <mergeCell ref="Q16:Q17"/>
    <mergeCell ref="A18:A19"/>
    <mergeCell ref="B18:C19"/>
    <mergeCell ref="D18:E19"/>
    <mergeCell ref="F18:F19"/>
    <mergeCell ref="G18:H19"/>
    <mergeCell ref="I18:J19"/>
    <mergeCell ref="K18:K19"/>
    <mergeCell ref="L18:L19"/>
    <mergeCell ref="M18:M19"/>
    <mergeCell ref="K16:K17"/>
    <mergeCell ref="L16:L17"/>
    <mergeCell ref="M16:M17"/>
    <mergeCell ref="N16:N17"/>
    <mergeCell ref="O16:O17"/>
    <mergeCell ref="P16:P17"/>
    <mergeCell ref="A16:A17"/>
    <mergeCell ref="B16:C17"/>
    <mergeCell ref="A14:A15"/>
    <mergeCell ref="B14:C15"/>
    <mergeCell ref="D14:E15"/>
    <mergeCell ref="F14:F15"/>
    <mergeCell ref="G14:H15"/>
    <mergeCell ref="I14:J15"/>
    <mergeCell ref="K14:K15"/>
    <mergeCell ref="A12:A13"/>
    <mergeCell ref="B12:C13"/>
    <mergeCell ref="D12:E13"/>
    <mergeCell ref="F12:J12"/>
    <mergeCell ref="K12:O12"/>
    <mergeCell ref="L14:L15"/>
    <mergeCell ref="M14:M15"/>
    <mergeCell ref="N14:N15"/>
    <mergeCell ref="O14:O15"/>
    <mergeCell ref="A11:B11"/>
    <mergeCell ref="D11:E11"/>
    <mergeCell ref="F11:G11"/>
    <mergeCell ref="H11:J11"/>
    <mergeCell ref="K11:L11"/>
    <mergeCell ref="M11:O11"/>
    <mergeCell ref="A8:P8"/>
    <mergeCell ref="A9:G9"/>
    <mergeCell ref="H9:Q9"/>
    <mergeCell ref="A10:B10"/>
    <mergeCell ref="D10:E10"/>
    <mergeCell ref="F10:G10"/>
    <mergeCell ref="H10:J10"/>
    <mergeCell ref="K10:L10"/>
    <mergeCell ref="M10:O10"/>
    <mergeCell ref="M5:P5"/>
    <mergeCell ref="A6:B6"/>
    <mergeCell ref="C6:H6"/>
    <mergeCell ref="I6:L6"/>
    <mergeCell ref="M6:P6"/>
    <mergeCell ref="A7:P7"/>
    <mergeCell ref="A4:B4"/>
    <mergeCell ref="D4:F4"/>
    <mergeCell ref="G4:H4"/>
    <mergeCell ref="A5:B5"/>
    <mergeCell ref="C5:H5"/>
    <mergeCell ref="I5:L5"/>
    <mergeCell ref="A1:Q2"/>
    <mergeCell ref="A3:B3"/>
    <mergeCell ref="D3:F3"/>
    <mergeCell ref="G3:H3"/>
    <mergeCell ref="I3:I4"/>
    <mergeCell ref="J3:K4"/>
    <mergeCell ref="L3:L4"/>
    <mergeCell ref="M3:N4"/>
    <mergeCell ref="O3:O4"/>
    <mergeCell ref="P3:P4"/>
  </mergeCells>
  <conditionalFormatting sqref="D4:F4">
    <cfRule type="cellIs" dxfId="3" priority="2" stopIfTrue="1" operator="equal">
      <formula>0</formula>
    </cfRule>
  </conditionalFormatting>
  <conditionalFormatting sqref="A14:A15">
    <cfRule type="expression" dxfId="2" priority="1">
      <formula>$A$14=""</formula>
    </cfRule>
  </conditionalFormatting>
  <printOptions horizontalCentered="1" verticalCentered="1"/>
  <pageMargins left="0.27559055118110237" right="0.19685039370078741" top="0.47244094488188981" bottom="0.59055118110236227" header="0.23622047244094491" footer="0.31496062992125984"/>
  <pageSetup paperSize="9" scale="62" orientation="landscape" r:id="rId1"/>
  <headerFooter alignWithMargins="0">
    <oddFooter>&amp;LForm152- Rev 05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DADOS!$A$2:$A$4</xm:f>
          </x14:formula1>
          <xm:sqref>P14:P63</xm:sqref>
        </x14:dataValidation>
        <x14:dataValidation type="list" allowBlank="1" showInputMessage="1" showErrorMessage="1">
          <x14:formula1>
            <xm:f>OFFSET(DADOS!$B$1,1,,COUNTA(DADOS!$B:$B)-1)</xm:f>
          </x14:formula1>
          <xm:sqref>B14:C15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theme="3" tint="0.79998168889431442"/>
    <pageSetUpPr fitToPage="1"/>
  </sheetPr>
  <dimension ref="A1:U65"/>
  <sheetViews>
    <sheetView showGridLines="0" view="pageBreakPreview" zoomScaleNormal="90" zoomScaleSheetLayoutView="100" workbookViewId="0">
      <selection activeCell="L3" sqref="L3:L4"/>
    </sheetView>
  </sheetViews>
  <sheetFormatPr defaultRowHeight="12.75"/>
  <cols>
    <col min="1" max="1" width="14.42578125" customWidth="1"/>
    <col min="2" max="2" width="10.140625" customWidth="1"/>
    <col min="3" max="3" width="12.28515625" customWidth="1"/>
    <col min="4" max="4" width="9.28515625" customWidth="1"/>
    <col min="5" max="5" width="7.7109375" customWidth="1"/>
    <col min="6" max="6" width="6.42578125" customWidth="1"/>
    <col min="7" max="7" width="8.85546875" customWidth="1"/>
    <col min="8" max="8" width="11.42578125" customWidth="1"/>
    <col min="9" max="9" width="8.42578125" customWidth="1"/>
    <col min="10" max="10" width="6.42578125" customWidth="1"/>
    <col min="11" max="11" width="20.140625" customWidth="1"/>
    <col min="12" max="12" width="18.5703125" customWidth="1"/>
    <col min="13" max="13" width="9.28515625" customWidth="1"/>
    <col min="14" max="14" width="18.85546875" customWidth="1"/>
    <col min="15" max="15" width="11.28515625" customWidth="1"/>
    <col min="16" max="16" width="15" customWidth="1"/>
    <col min="17" max="17" width="15.5703125" customWidth="1"/>
  </cols>
  <sheetData>
    <row r="1" spans="1:21" ht="12.75" customHeight="1">
      <c r="A1" s="448" t="s">
        <v>0</v>
      </c>
      <c r="B1" s="449"/>
      <c r="C1" s="449"/>
      <c r="D1" s="449"/>
      <c r="E1" s="449"/>
      <c r="F1" s="449"/>
      <c r="G1" s="449"/>
      <c r="H1" s="449"/>
      <c r="I1" s="449"/>
      <c r="J1" s="449"/>
      <c r="K1" s="449"/>
      <c r="L1" s="449"/>
      <c r="M1" s="449"/>
      <c r="N1" s="449"/>
      <c r="O1" s="449"/>
      <c r="P1" s="449"/>
      <c r="Q1" s="450"/>
    </row>
    <row r="2" spans="1:21" ht="13.5" customHeight="1" thickBot="1">
      <c r="A2" s="451"/>
      <c r="B2" s="452"/>
      <c r="C2" s="452"/>
      <c r="D2" s="452"/>
      <c r="E2" s="452"/>
      <c r="F2" s="452"/>
      <c r="G2" s="452"/>
      <c r="H2" s="452"/>
      <c r="I2" s="452"/>
      <c r="J2" s="452"/>
      <c r="K2" s="452"/>
      <c r="L2" s="452"/>
      <c r="M2" s="452"/>
      <c r="N2" s="452"/>
      <c r="O2" s="452"/>
      <c r="P2" s="452"/>
      <c r="Q2" s="453"/>
      <c r="U2" s="124"/>
    </row>
    <row r="3" spans="1:21" ht="12.75" customHeight="1">
      <c r="A3" s="454" t="s">
        <v>1</v>
      </c>
      <c r="B3" s="455"/>
      <c r="C3" s="3" t="s">
        <v>34</v>
      </c>
      <c r="D3" s="456" t="s">
        <v>2</v>
      </c>
      <c r="E3" s="457"/>
      <c r="F3" s="458"/>
      <c r="G3" s="456" t="s">
        <v>33</v>
      </c>
      <c r="H3" s="458"/>
      <c r="I3" s="262" t="str">
        <f>IF('MATERIA PRIMA'!I3:I4="","",'MATERIA PRIMA'!I3:I4)</f>
        <v/>
      </c>
      <c r="J3" s="244" t="s">
        <v>708</v>
      </c>
      <c r="K3" s="244"/>
      <c r="L3" s="271" t="str">
        <f>IF('MATERIA PRIMA'!L3:L4="","",'MATERIA PRIMA'!L3:L4)</f>
        <v/>
      </c>
      <c r="M3" s="248" t="s">
        <v>710</v>
      </c>
      <c r="N3" s="248"/>
      <c r="O3" s="271" t="str">
        <f>IF('MATERIA PRIMA'!O3:O4="","",'MATERIA PRIMA'!O3:O4)</f>
        <v>X</v>
      </c>
      <c r="P3" s="250" t="s">
        <v>22</v>
      </c>
      <c r="Q3" s="125" t="s">
        <v>4</v>
      </c>
      <c r="U3" s="126"/>
    </row>
    <row r="4" spans="1:21" ht="12.75" customHeight="1">
      <c r="A4" s="277" t="str">
        <f>IF('MATERIA PRIMA'!A4:B4="","",'MATERIA PRIMA'!A4:B4)</f>
        <v/>
      </c>
      <c r="B4" s="278"/>
      <c r="C4" s="27" t="str">
        <f>IF('MATERIA PRIMA'!C4="","",'MATERIA PRIMA'!C4)</f>
        <v/>
      </c>
      <c r="D4" s="279" t="str">
        <f>IF('MATERIA PRIMA'!D4:F4="","",'MATERIA PRIMA'!D4:F4)</f>
        <v/>
      </c>
      <c r="E4" s="280"/>
      <c r="F4" s="280"/>
      <c r="G4" s="239" t="str">
        <f>IF('MATERIA PRIMA'!G4:H4="","",'MATERIA PRIMA'!G4:H4)</f>
        <v/>
      </c>
      <c r="H4" s="241"/>
      <c r="I4" s="263"/>
      <c r="J4" s="245"/>
      <c r="K4" s="245"/>
      <c r="L4" s="272"/>
      <c r="M4" s="249"/>
      <c r="N4" s="249"/>
      <c r="O4" s="272"/>
      <c r="P4" s="251"/>
      <c r="Q4" s="56">
        <f ca="1">_xlfn.SHEET()</f>
        <v>13</v>
      </c>
      <c r="U4" s="124"/>
    </row>
    <row r="5" spans="1:21">
      <c r="A5" s="208" t="s">
        <v>21</v>
      </c>
      <c r="B5" s="186"/>
      <c r="C5" s="459" t="s">
        <v>3</v>
      </c>
      <c r="D5" s="314"/>
      <c r="E5" s="314"/>
      <c r="F5" s="314"/>
      <c r="G5" s="314"/>
      <c r="H5" s="460"/>
      <c r="I5" s="459" t="s">
        <v>5</v>
      </c>
      <c r="J5" s="314"/>
      <c r="K5" s="314"/>
      <c r="L5" s="460"/>
      <c r="M5" s="459" t="s">
        <v>29</v>
      </c>
      <c r="N5" s="314"/>
      <c r="O5" s="314"/>
      <c r="P5" s="460"/>
      <c r="Q5" s="2" t="s">
        <v>7</v>
      </c>
      <c r="U5" s="126"/>
    </row>
    <row r="6" spans="1:21" ht="13.5" customHeight="1">
      <c r="A6" s="273" t="str">
        <f>IF('MATERIA PRIMA'!A6:B6="","",'MATERIA PRIMA'!A6:B6)</f>
        <v/>
      </c>
      <c r="B6" s="274"/>
      <c r="C6" s="275" t="str">
        <f>IF('MATERIA PRIMA'!C6:H6="","",'MATERIA PRIMA'!C6:H6)</f>
        <v/>
      </c>
      <c r="D6" s="276"/>
      <c r="E6" s="276"/>
      <c r="F6" s="276"/>
      <c r="G6" s="276"/>
      <c r="H6" s="274"/>
      <c r="I6" s="239" t="s">
        <v>6</v>
      </c>
      <c r="J6" s="240"/>
      <c r="K6" s="240"/>
      <c r="L6" s="241"/>
      <c r="M6" s="275" t="str">
        <f>IF('MATERIA PRIMA'!M6:P6="","",'MATERIA PRIMA'!M6:P6)</f>
        <v/>
      </c>
      <c r="N6" s="276"/>
      <c r="O6" s="276"/>
      <c r="P6" s="274"/>
      <c r="Q6" s="38" t="str">
        <f>IF('MATERIA PRIMA'!Q6="","",'MATERIA PRIMA'!Q6)</f>
        <v/>
      </c>
      <c r="U6" s="124"/>
    </row>
    <row r="7" spans="1:21">
      <c r="A7" s="313" t="s">
        <v>28</v>
      </c>
      <c r="B7" s="314"/>
      <c r="C7" s="314"/>
      <c r="D7" s="314"/>
      <c r="E7" s="314"/>
      <c r="F7" s="314"/>
      <c r="G7" s="314"/>
      <c r="H7" s="314"/>
      <c r="I7" s="314"/>
      <c r="J7" s="314"/>
      <c r="K7" s="314"/>
      <c r="L7" s="314"/>
      <c r="M7" s="314"/>
      <c r="N7" s="314"/>
      <c r="O7" s="314"/>
      <c r="P7" s="460"/>
      <c r="Q7" s="2" t="s">
        <v>8</v>
      </c>
      <c r="U7" s="126"/>
    </row>
    <row r="8" spans="1:21" ht="12.75" customHeight="1">
      <c r="A8" s="266" t="str">
        <f>IF('MATERIA PRIMA'!A8:P8="","",'MATERIA PRIMA'!A8:P8)</f>
        <v/>
      </c>
      <c r="B8" s="267"/>
      <c r="C8" s="267"/>
      <c r="D8" s="267"/>
      <c r="E8" s="267"/>
      <c r="F8" s="267"/>
      <c r="G8" s="267"/>
      <c r="H8" s="267"/>
      <c r="I8" s="267"/>
      <c r="J8" s="267"/>
      <c r="K8" s="267"/>
      <c r="L8" s="267"/>
      <c r="M8" s="267"/>
      <c r="N8" s="267"/>
      <c r="O8" s="267"/>
      <c r="P8" s="268"/>
      <c r="Q8" s="38" t="str">
        <f>IF('MATERIA PRIMA'!Q8="","",'MATERIA PRIMA'!Q8)</f>
        <v/>
      </c>
      <c r="U8" s="124"/>
    </row>
    <row r="9" spans="1:21" ht="14.25" customHeight="1">
      <c r="A9" s="208" t="s">
        <v>9</v>
      </c>
      <c r="B9" s="223"/>
      <c r="C9" s="223"/>
      <c r="D9" s="223"/>
      <c r="E9" s="223"/>
      <c r="F9" s="223"/>
      <c r="G9" s="186"/>
      <c r="H9" s="224" t="s">
        <v>26</v>
      </c>
      <c r="I9" s="225"/>
      <c r="J9" s="225"/>
      <c r="K9" s="225"/>
      <c r="L9" s="225"/>
      <c r="M9" s="225"/>
      <c r="N9" s="225"/>
      <c r="O9" s="225"/>
      <c r="P9" s="225"/>
      <c r="Q9" s="226"/>
      <c r="U9" s="126"/>
    </row>
    <row r="10" spans="1:21">
      <c r="A10" s="208" t="s">
        <v>10</v>
      </c>
      <c r="B10" s="186"/>
      <c r="C10" s="36" t="s">
        <v>11</v>
      </c>
      <c r="D10" s="185" t="s">
        <v>12</v>
      </c>
      <c r="E10" s="186"/>
      <c r="F10" s="185" t="s">
        <v>11</v>
      </c>
      <c r="G10" s="186"/>
      <c r="H10" s="196"/>
      <c r="I10" s="197"/>
      <c r="J10" s="198"/>
      <c r="K10" s="185" t="s">
        <v>11</v>
      </c>
      <c r="L10" s="186"/>
      <c r="M10" s="187"/>
      <c r="N10" s="188"/>
      <c r="O10" s="189"/>
      <c r="P10" s="46"/>
      <c r="Q10" s="2" t="s">
        <v>11</v>
      </c>
      <c r="U10" s="124"/>
    </row>
    <row r="11" spans="1:21" ht="13.5" thickBot="1">
      <c r="A11" s="202"/>
      <c r="B11" s="203"/>
      <c r="C11" s="60"/>
      <c r="D11" s="204"/>
      <c r="E11" s="203"/>
      <c r="F11" s="204"/>
      <c r="G11" s="203"/>
      <c r="H11" s="209"/>
      <c r="I11" s="210"/>
      <c r="J11" s="211"/>
      <c r="K11" s="204"/>
      <c r="L11" s="203"/>
      <c r="M11" s="205"/>
      <c r="N11" s="206"/>
      <c r="O11" s="207"/>
      <c r="P11" s="61"/>
      <c r="Q11" s="62"/>
      <c r="U11" s="126"/>
    </row>
    <row r="12" spans="1:21">
      <c r="A12" s="252" t="s">
        <v>760</v>
      </c>
      <c r="B12" s="254" t="s">
        <v>759</v>
      </c>
      <c r="C12" s="255"/>
      <c r="D12" s="254" t="s">
        <v>758</v>
      </c>
      <c r="E12" s="255"/>
      <c r="F12" s="461" t="s">
        <v>20</v>
      </c>
      <c r="G12" s="461"/>
      <c r="H12" s="461"/>
      <c r="I12" s="461"/>
      <c r="J12" s="461"/>
      <c r="K12" s="199" t="s">
        <v>23</v>
      </c>
      <c r="L12" s="199"/>
      <c r="M12" s="199"/>
      <c r="N12" s="199"/>
      <c r="O12" s="199"/>
      <c r="P12" s="200" t="s">
        <v>711</v>
      </c>
      <c r="Q12" s="172" t="s">
        <v>757</v>
      </c>
      <c r="U12" s="124"/>
    </row>
    <row r="13" spans="1:21" ht="22.5">
      <c r="A13" s="253"/>
      <c r="B13" s="256"/>
      <c r="C13" s="257"/>
      <c r="D13" s="256"/>
      <c r="E13" s="257"/>
      <c r="F13" s="123" t="s">
        <v>17</v>
      </c>
      <c r="G13" s="174" t="s">
        <v>750</v>
      </c>
      <c r="H13" s="174"/>
      <c r="I13" s="174" t="s">
        <v>751</v>
      </c>
      <c r="J13" s="174"/>
      <c r="K13" s="1" t="s">
        <v>752</v>
      </c>
      <c r="L13" s="1" t="s">
        <v>753</v>
      </c>
      <c r="M13" s="1" t="s">
        <v>754</v>
      </c>
      <c r="N13" s="1" t="s">
        <v>755</v>
      </c>
      <c r="O13" s="1" t="s">
        <v>756</v>
      </c>
      <c r="P13" s="201"/>
      <c r="Q13" s="173"/>
      <c r="U13" s="126"/>
    </row>
    <row r="14" spans="1:21" ht="12.75" customHeight="1">
      <c r="A14" s="136"/>
      <c r="B14" s="464" t="s">
        <v>355</v>
      </c>
      <c r="C14" s="464"/>
      <c r="D14" s="465" t="s">
        <v>355</v>
      </c>
      <c r="E14" s="466"/>
      <c r="F14" s="464" t="str">
        <f>IF(G14&lt;&gt;"",$A$14&amp;"."&amp;(ROW(G14)-12)/2,"")</f>
        <v>.1</v>
      </c>
      <c r="G14" s="469" t="s">
        <v>735</v>
      </c>
      <c r="H14" s="469"/>
      <c r="I14" s="464"/>
      <c r="J14" s="464"/>
      <c r="K14" s="462" t="s">
        <v>335</v>
      </c>
      <c r="L14" s="462" t="s">
        <v>111</v>
      </c>
      <c r="M14" s="462" t="str">
        <f>IF(G14&lt;&gt;"",IF(O14="R.I.F.",10,IF(OR(LEFT($B$14,4)="100%",$B$14="OLEAR COM ÓLEO PROTETIVO",$B$14="MAGNAFLUX",$B$14="DESEMPENAR"),"100%",IF(OR(P14="C",P14="E"),4,IF(P14="D",6,2)))),"")</f>
        <v>100%</v>
      </c>
      <c r="N14" s="462" t="s">
        <v>35</v>
      </c>
      <c r="O14" s="462" t="str">
        <f>IF(G14&lt;&gt;"",
                               IF(OR($B$14="ESTAMPAR",$B$14="LAMINAR ROSCA",$B$14="LAMINAR CANAIS",$B$14="ENDIREITAR",$B$14="CONFORMAR A FRIO",$B$14="FORJAR A QUENTE",$B$14="REPASSAR ROSCA",$B$14="LAMINAR RECARTILHA",$B$14="OLEAR COM ÓLEO PROTETIVO"),"R.I.P.",
                               IF(OR(LEFT($B$14,11)="RECEBIMENTO",$B$14="TRATAMENTO SUPERFICIAL"),"R.I.R.",
                               IF(OR($B$14="DESEMPENAR",$B$14="JATEAR",$B$14="MAGNAFLUX",$B$14="QUEIMA DE ÓLEO",$B$14="LIMPEZA MECÂNICA"),"R.I.","R.I.F."))),"")</f>
        <v>R.I.</v>
      </c>
      <c r="P14" s="470"/>
      <c r="Q14" s="472" t="str">
        <f>IF(G14&lt;&gt;"","IT 9.4.9.","")</f>
        <v>IT 9.4.9.</v>
      </c>
      <c r="U14" s="124"/>
    </row>
    <row r="15" spans="1:21" ht="12.75" customHeight="1">
      <c r="A15" s="136"/>
      <c r="B15" s="464"/>
      <c r="C15" s="464"/>
      <c r="D15" s="467"/>
      <c r="E15" s="468"/>
      <c r="F15" s="464"/>
      <c r="G15" s="469"/>
      <c r="H15" s="469"/>
      <c r="I15" s="464"/>
      <c r="J15" s="464"/>
      <c r="K15" s="463"/>
      <c r="L15" s="463"/>
      <c r="M15" s="463"/>
      <c r="N15" s="463"/>
      <c r="O15" s="463"/>
      <c r="P15" s="471"/>
      <c r="Q15" s="473"/>
      <c r="U15" s="126"/>
    </row>
    <row r="16" spans="1:21" ht="12.75" customHeight="1">
      <c r="A16" s="136"/>
      <c r="B16" s="464"/>
      <c r="C16" s="464"/>
      <c r="D16" s="464"/>
      <c r="E16" s="464"/>
      <c r="F16" s="464" t="str">
        <f>IF(G16&lt;&gt;"",$A$14&amp;"."&amp;(ROW(G16)-12)/2,"")</f>
        <v>.2</v>
      </c>
      <c r="G16" s="464" t="s">
        <v>733</v>
      </c>
      <c r="H16" s="464"/>
      <c r="I16" s="464"/>
      <c r="J16" s="464"/>
      <c r="K16" s="462" t="s">
        <v>335</v>
      </c>
      <c r="L16" s="462" t="s">
        <v>111</v>
      </c>
      <c r="M16" s="462" t="str">
        <f>IF(G16&lt;&gt;"",IF(O16="R.I.F.",10,IF(OR(LEFT($B$14,4)="100%",$B$14="OLEAR COM ÓLEO PROTETIVO",$B$14="MAGNAFLUX",$B$14="DESEMPENAR"),"100%",IF(OR(P16="C",P16="E"),4,IF(P16="D",6,2)))),"")</f>
        <v>100%</v>
      </c>
      <c r="N16" s="462" t="s">
        <v>35</v>
      </c>
      <c r="O16" s="462" t="str">
        <f>IF(G16&lt;&gt;"",
                               IF(OR($B$14="ESTAMPAR",$B$14="LAMINAR ROSCA",$B$14="LAMINAR CANAIS",$B$14="ENDIREITAR",$B$14="CONFORMAR A FRIO",$B$14="FORJAR A QUENTE",$B$14="REPASSAR ROSCA",$B$14="LAMINAR RECARTILHA",$B$14="OLEAR COM ÓLEO PROTETIVO"),"R.I.P.",
                               IF(OR(LEFT($B$14,11)="RECEBIMENTO",$B$14="TRATAMENTO SUPERFICIAL"),"R.I.R.",
                               IF(OR($B$14="DESEMPENAR",$B$14="JATEAR",$B$14="MAGNAFLUX",$B$14="QUEIMA DE ÓLEO",$B$14="LIMPEZA MECÂNICA"),"R.I.","R.I.F."))),"")</f>
        <v>R.I.</v>
      </c>
      <c r="P16" s="470"/>
      <c r="Q16" s="472" t="str">
        <f>IF(G16&lt;&gt;"","IT 9.4.9.","")</f>
        <v>IT 9.4.9.</v>
      </c>
      <c r="U16" s="124"/>
    </row>
    <row r="17" spans="1:21" ht="12.75" customHeight="1">
      <c r="A17" s="136"/>
      <c r="B17" s="464"/>
      <c r="C17" s="464"/>
      <c r="D17" s="464"/>
      <c r="E17" s="464"/>
      <c r="F17" s="464"/>
      <c r="G17" s="464"/>
      <c r="H17" s="464"/>
      <c r="I17" s="464"/>
      <c r="J17" s="464"/>
      <c r="K17" s="463"/>
      <c r="L17" s="463"/>
      <c r="M17" s="463"/>
      <c r="N17" s="463"/>
      <c r="O17" s="463"/>
      <c r="P17" s="471"/>
      <c r="Q17" s="473"/>
      <c r="U17" s="126"/>
    </row>
    <row r="18" spans="1:21" ht="12.75" customHeight="1">
      <c r="A18" s="136"/>
      <c r="B18" s="464"/>
      <c r="C18" s="464"/>
      <c r="D18" s="464"/>
      <c r="E18" s="464"/>
      <c r="F18" s="464" t="str">
        <f>IF(G18&lt;&gt;"",$A$14&amp;"."&amp;(ROW(G18)-12)/2,"")</f>
        <v>.3</v>
      </c>
      <c r="G18" s="464" t="s">
        <v>109</v>
      </c>
      <c r="H18" s="464"/>
      <c r="I18" s="464"/>
      <c r="J18" s="464"/>
      <c r="K18" s="462" t="s">
        <v>734</v>
      </c>
      <c r="L18" s="462" t="s">
        <v>111</v>
      </c>
      <c r="M18" s="462" t="str">
        <f>IF(G18&lt;&gt;"",IF(O18="R.I.F.",10,IF(OR(LEFT($B$14,4)="100%",$B$14="OLEAR COM ÓLEO PROTETIVO",$B$14="MAGNAFLUX",$B$14="DESEMPENAR"),"100%",IF(OR(P18="C",P18="E"),4,IF(P18="D",6,2)))),"")</f>
        <v>100%</v>
      </c>
      <c r="N18" s="462" t="s">
        <v>35</v>
      </c>
      <c r="O18" s="462" t="str">
        <f>IF(G18&lt;&gt;"",
                               IF(OR($B$14="ESTAMPAR",$B$14="LAMINAR ROSCA",$B$14="LAMINAR CANAIS",$B$14="ENDIREITAR",$B$14="CONFORMAR A FRIO",$B$14="FORJAR A QUENTE",$B$14="REPASSAR ROSCA",$B$14="LAMINAR RECARTILHA",$B$14="OLEAR COM ÓLEO PROTETIVO"),"R.I.P.",
                               IF(OR(LEFT($B$14,11)="RECEBIMENTO",$B$14="TRATAMENTO SUPERFICIAL"),"R.I.R.",
                               IF(OR($B$14="DESEMPENAR",$B$14="JATEAR",$B$14="MAGNAFLUX",$B$14="QUEIMA DE ÓLEO",$B$14="LIMPEZA MECÂNICA"),"R.I.","R.I.F."))),"")</f>
        <v>R.I.</v>
      </c>
      <c r="P18" s="470"/>
      <c r="Q18" s="472" t="str">
        <f>IF(G18&lt;&gt;"","IT 9.4.9.","")</f>
        <v>IT 9.4.9.</v>
      </c>
      <c r="U18" s="124"/>
    </row>
    <row r="19" spans="1:21" ht="23.25" customHeight="1">
      <c r="A19" s="136"/>
      <c r="B19" s="464"/>
      <c r="C19" s="464"/>
      <c r="D19" s="464"/>
      <c r="E19" s="464"/>
      <c r="F19" s="464"/>
      <c r="G19" s="464"/>
      <c r="H19" s="464"/>
      <c r="I19" s="464"/>
      <c r="J19" s="464"/>
      <c r="K19" s="463"/>
      <c r="L19" s="463"/>
      <c r="M19" s="463"/>
      <c r="N19" s="463"/>
      <c r="O19" s="463"/>
      <c r="P19" s="471"/>
      <c r="Q19" s="473"/>
      <c r="U19" s="126"/>
    </row>
    <row r="20" spans="1:21" ht="12.75" customHeight="1">
      <c r="A20" s="163"/>
      <c r="B20" s="137"/>
      <c r="C20" s="137"/>
      <c r="D20" s="138"/>
      <c r="E20" s="139"/>
      <c r="F20" s="464" t="str">
        <f>IF(OR(G20&lt;&gt;"",I20&lt;&gt;""),$A$14&amp;"."&amp;(ROW(G20)-12)/2,"")</f>
        <v/>
      </c>
      <c r="G20" s="137"/>
      <c r="H20" s="137"/>
      <c r="I20" s="137"/>
      <c r="J20" s="137"/>
      <c r="K20" s="146"/>
      <c r="L20" s="146"/>
      <c r="M20" s="146" t="str">
        <f>IF(F20&lt;&gt;"",IF(O20="R.I.F.",10,
                          IF(OR(LEFT($B$14,4)="100%",$B$14="OLEAR COM ÓLEO PROTETIVO",$B$14="MAGNAFLUX",$B$14="DESEMPENAR"),"100%",
                          IF(OR(P20="C",P20="E"),4,IF(P20="D",6,2)))),"")</f>
        <v/>
      </c>
      <c r="N20" s="146"/>
      <c r="O20" s="146" t="str">
        <f>IF(F20&lt;&gt;"",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20" s="259"/>
      <c r="Q20" s="152" t="str">
        <f>IF(F20&lt;&gt;"","IT 9.4.9.","")</f>
        <v/>
      </c>
      <c r="U20" s="124"/>
    </row>
    <row r="21" spans="1:21" ht="12.75" customHeight="1">
      <c r="A21" s="261"/>
      <c r="B21" s="137"/>
      <c r="C21" s="137"/>
      <c r="D21" s="140"/>
      <c r="E21" s="141"/>
      <c r="F21" s="464"/>
      <c r="G21" s="137"/>
      <c r="H21" s="137"/>
      <c r="I21" s="137"/>
      <c r="J21" s="137"/>
      <c r="K21" s="147"/>
      <c r="L21" s="147"/>
      <c r="M21" s="147"/>
      <c r="N21" s="147"/>
      <c r="O21" s="147"/>
      <c r="P21" s="260"/>
      <c r="Q21" s="153"/>
      <c r="U21" s="126"/>
    </row>
    <row r="22" spans="1:21" ht="12.75" customHeight="1">
      <c r="A22" s="136"/>
      <c r="B22" s="137"/>
      <c r="C22" s="137"/>
      <c r="D22" s="137"/>
      <c r="E22" s="137"/>
      <c r="F22" s="464" t="str">
        <f>IF(OR(G22&lt;&gt;"",I22&lt;&gt;""),$A$14&amp;"."&amp;(ROW(G22)-12)/2,"")</f>
        <v/>
      </c>
      <c r="G22" s="137"/>
      <c r="H22" s="137"/>
      <c r="I22" s="137"/>
      <c r="J22" s="137"/>
      <c r="K22" s="137"/>
      <c r="L22" s="146"/>
      <c r="M22" s="146" t="str">
        <f>IF(F22&lt;&gt;"",IF(O22="R.I.F.",10,
                          IF(OR(LEFT($B$14,4)="100%",$B$14="OLEAR COM ÓLEO PROTETIVO",$B$14="MAGNAFLUX",$B$14="DESEMPENAR"),"100%",
                          IF(OR(P22="C",P22="E"),4,IF(P22="D",6,2)))),"")</f>
        <v/>
      </c>
      <c r="N22" s="146"/>
      <c r="O22" s="146" t="str">
        <f>IF(F22&lt;&gt;"",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22" s="259"/>
      <c r="Q22" s="152" t="str">
        <f>IF(F22&lt;&gt;"","IT 9.4.9.","")</f>
        <v/>
      </c>
      <c r="U22" s="124"/>
    </row>
    <row r="23" spans="1:21" ht="12.75" customHeight="1">
      <c r="A23" s="136"/>
      <c r="B23" s="137"/>
      <c r="C23" s="137"/>
      <c r="D23" s="137"/>
      <c r="E23" s="137"/>
      <c r="F23" s="464"/>
      <c r="G23" s="146"/>
      <c r="H23" s="146"/>
      <c r="I23" s="146"/>
      <c r="J23" s="146"/>
      <c r="K23" s="146"/>
      <c r="L23" s="147"/>
      <c r="M23" s="147"/>
      <c r="N23" s="147"/>
      <c r="O23" s="147"/>
      <c r="P23" s="260"/>
      <c r="Q23" s="153"/>
      <c r="U23" s="126"/>
    </row>
    <row r="24" spans="1:21" ht="12.75" customHeight="1">
      <c r="A24" s="136"/>
      <c r="B24" s="137"/>
      <c r="C24" s="137"/>
      <c r="D24" s="137"/>
      <c r="E24" s="137"/>
      <c r="F24" s="464" t="str">
        <f>IF(OR(G24&lt;&gt;"",I24&lt;&gt;""),$A$14&amp;"."&amp;(ROW(G24)-12)/2,"")</f>
        <v/>
      </c>
      <c r="G24" s="137"/>
      <c r="H24" s="137"/>
      <c r="I24" s="137"/>
      <c r="J24" s="137"/>
      <c r="K24" s="137"/>
      <c r="L24" s="146"/>
      <c r="M24" s="146" t="str">
        <f>IF(F24&lt;&gt;"",IF(O24="R.I.F.",10,
                          IF(OR(LEFT($B$14,4)="100%",$B$14="OLEAR COM ÓLEO PROTETIVO",$B$14="MAGNAFLUX",$B$14="DESEMPENAR"),"100%",
                          IF(OR(P24="C",P24="E"),4,IF(P24="D",6,2)))),"")</f>
        <v/>
      </c>
      <c r="N24" s="146"/>
      <c r="O24" s="146" t="str">
        <f>IF(F24&lt;&gt;"",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24" s="259"/>
      <c r="Q24" s="152" t="str">
        <f>IF(F24&lt;&gt;"","IT 9.4.9.","")</f>
        <v/>
      </c>
      <c r="U24" s="124"/>
    </row>
    <row r="25" spans="1:21" ht="12.75" customHeight="1">
      <c r="A25" s="136"/>
      <c r="B25" s="137"/>
      <c r="C25" s="137"/>
      <c r="D25" s="137"/>
      <c r="E25" s="137"/>
      <c r="F25" s="464"/>
      <c r="G25" s="146"/>
      <c r="H25" s="146"/>
      <c r="I25" s="146"/>
      <c r="J25" s="146"/>
      <c r="K25" s="146"/>
      <c r="L25" s="147"/>
      <c r="M25" s="147"/>
      <c r="N25" s="147"/>
      <c r="O25" s="147"/>
      <c r="P25" s="260"/>
      <c r="Q25" s="153"/>
      <c r="U25" s="126"/>
    </row>
    <row r="26" spans="1:21" ht="12.75" customHeight="1">
      <c r="A26" s="136"/>
      <c r="B26" s="137"/>
      <c r="C26" s="137"/>
      <c r="D26" s="137"/>
      <c r="E26" s="137"/>
      <c r="F26" s="464" t="str">
        <f>IF(OR(G26&lt;&gt;"",I26&lt;&gt;""),$A$14&amp;"."&amp;(ROW(G26)-12)/2,"")</f>
        <v/>
      </c>
      <c r="G26" s="137"/>
      <c r="H26" s="137"/>
      <c r="I26" s="137"/>
      <c r="J26" s="137"/>
      <c r="K26" s="137"/>
      <c r="L26" s="146"/>
      <c r="M26" s="146" t="str">
        <f>IF(F26&lt;&gt;"",IF(O26="R.I.F.",10,
                          IF(OR(LEFT($B$14,4)="100%",$B$14="OLEAR COM ÓLEO PROTETIVO",$B$14="MAGNAFLUX",$B$14="DESEMPENAR"),"100%",
                          IF(OR(P26="C",P26="E"),4,IF(P26="D",6,2)))),"")</f>
        <v/>
      </c>
      <c r="N26" s="146"/>
      <c r="O26" s="146" t="str">
        <f>IF(F26&lt;&gt;"",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26" s="259"/>
      <c r="Q26" s="152" t="str">
        <f>IF(F26&lt;&gt;"","IT 9.4.9.","")</f>
        <v/>
      </c>
      <c r="U26" s="124"/>
    </row>
    <row r="27" spans="1:21" ht="12.75" customHeight="1">
      <c r="A27" s="136"/>
      <c r="B27" s="137"/>
      <c r="C27" s="137"/>
      <c r="D27" s="137"/>
      <c r="E27" s="137"/>
      <c r="F27" s="464"/>
      <c r="G27" s="146"/>
      <c r="H27" s="146"/>
      <c r="I27" s="146"/>
      <c r="J27" s="146"/>
      <c r="K27" s="146"/>
      <c r="L27" s="147"/>
      <c r="M27" s="147"/>
      <c r="N27" s="147"/>
      <c r="O27" s="147"/>
      <c r="P27" s="260"/>
      <c r="Q27" s="153"/>
      <c r="U27" s="126"/>
    </row>
    <row r="28" spans="1:21" ht="12.75" customHeight="1">
      <c r="A28" s="136"/>
      <c r="B28" s="137"/>
      <c r="C28" s="137"/>
      <c r="D28" s="137"/>
      <c r="E28" s="137"/>
      <c r="F28" s="464" t="str">
        <f>IF(OR(G28&lt;&gt;"",I28&lt;&gt;""),$A$14&amp;"."&amp;(ROW(G28)-12)/2,"")</f>
        <v/>
      </c>
      <c r="G28" s="138"/>
      <c r="H28" s="139"/>
      <c r="I28" s="137"/>
      <c r="J28" s="137"/>
      <c r="K28" s="146"/>
      <c r="L28" s="146"/>
      <c r="M28" s="146" t="str">
        <f>IF(F28&lt;&gt;"",IF(O28="R.I.F.",10,
                          IF(OR(LEFT($B$14,4)="100%",$B$14="OLEAR COM ÓLEO PROTETIVO",$B$14="MAGNAFLUX",$B$14="DESEMPENAR"),"100%",
                          IF(OR(P28="C",P28="E"),4,IF(P28="D",6,2)))),"")</f>
        <v/>
      </c>
      <c r="N28" s="146"/>
      <c r="O28" s="146" t="str">
        <f>IF(F28&lt;&gt;"",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28" s="259"/>
      <c r="Q28" s="152" t="str">
        <f>IF(F28&lt;&gt;"","IT 9.4.9.","")</f>
        <v/>
      </c>
      <c r="U28" s="124"/>
    </row>
    <row r="29" spans="1:21" ht="12.75" customHeight="1">
      <c r="A29" s="136"/>
      <c r="B29" s="137"/>
      <c r="C29" s="137"/>
      <c r="D29" s="137"/>
      <c r="E29" s="137"/>
      <c r="F29" s="464"/>
      <c r="G29" s="140"/>
      <c r="H29" s="141"/>
      <c r="I29" s="137"/>
      <c r="J29" s="137"/>
      <c r="K29" s="147"/>
      <c r="L29" s="147"/>
      <c r="M29" s="147"/>
      <c r="N29" s="147"/>
      <c r="O29" s="147"/>
      <c r="P29" s="260"/>
      <c r="Q29" s="153"/>
    </row>
    <row r="30" spans="1:21" ht="12.75" customHeight="1">
      <c r="A30" s="136"/>
      <c r="B30" s="138"/>
      <c r="C30" s="139"/>
      <c r="D30" s="137"/>
      <c r="E30" s="137"/>
      <c r="F30" s="464" t="str">
        <f>IF(OR(G30&lt;&gt;"",I30&lt;&gt;""),$A$14&amp;"."&amp;(ROW(G30)-12)/2,"")</f>
        <v/>
      </c>
      <c r="G30" s="137"/>
      <c r="H30" s="137"/>
      <c r="I30" s="137"/>
      <c r="J30" s="137"/>
      <c r="K30" s="146"/>
      <c r="L30" s="146"/>
      <c r="M30" s="146" t="str">
        <f>IF(F30&lt;&gt;"",IF(O30="R.I.F.",10,
                          IF(OR(LEFT($B$14,4)="100%",$B$14="OLEAR COM ÓLEO PROTETIVO",$B$14="MAGNAFLUX",$B$14="DESEMPENAR"),"100%",
                          IF(OR(P30="C",P30="E"),4,IF(P30="D",6,2)))),"")</f>
        <v/>
      </c>
      <c r="N30" s="146"/>
      <c r="O30" s="146" t="str">
        <f>IF(F30&lt;&gt;"",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30" s="259"/>
      <c r="Q30" s="152" t="str">
        <f>IF(F30&lt;&gt;"","IT 9.4.9.","")</f>
        <v/>
      </c>
    </row>
    <row r="31" spans="1:21" ht="12.75" customHeight="1">
      <c r="A31" s="136"/>
      <c r="B31" s="140"/>
      <c r="C31" s="141"/>
      <c r="D31" s="137"/>
      <c r="E31" s="137"/>
      <c r="F31" s="464"/>
      <c r="G31" s="137"/>
      <c r="H31" s="137"/>
      <c r="I31" s="137"/>
      <c r="J31" s="137"/>
      <c r="K31" s="147"/>
      <c r="L31" s="147"/>
      <c r="M31" s="147"/>
      <c r="N31" s="147"/>
      <c r="O31" s="147"/>
      <c r="P31" s="260"/>
      <c r="Q31" s="153"/>
    </row>
    <row r="32" spans="1:21" ht="12.75" customHeight="1">
      <c r="A32" s="136"/>
      <c r="B32" s="137"/>
      <c r="C32" s="137"/>
      <c r="D32" s="137"/>
      <c r="E32" s="137"/>
      <c r="F32" s="464" t="str">
        <f>IF(OR(G32&lt;&gt;"",I32&lt;&gt;""),$A$14&amp;"."&amp;(ROW(G32)-12)/2,"")</f>
        <v/>
      </c>
      <c r="G32" s="138"/>
      <c r="H32" s="139"/>
      <c r="I32" s="137"/>
      <c r="J32" s="137"/>
      <c r="K32" s="146"/>
      <c r="L32" s="146"/>
      <c r="M32" s="146" t="str">
        <f>IF(F32&lt;&gt;"",IF(O32="R.I.F.",10,
                          IF(OR(LEFT($B$14,4)="100%",$B$14="OLEAR COM ÓLEO PROTETIVO",$B$14="MAGNAFLUX",$B$14="DESEMPENAR"),"100%",
                          IF(OR(P32="C",P32="E"),4,IF(P32="D",6,2)))),"")</f>
        <v/>
      </c>
      <c r="N32" s="146"/>
      <c r="O32" s="146" t="str">
        <f>IF(F32&lt;&gt;"",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32" s="259"/>
      <c r="Q32" s="152" t="str">
        <f>IF(F32&lt;&gt;"","IT 9.4.9.","")</f>
        <v/>
      </c>
    </row>
    <row r="33" spans="1:17" ht="12.75" customHeight="1">
      <c r="A33" s="136"/>
      <c r="B33" s="137"/>
      <c r="C33" s="137"/>
      <c r="D33" s="137"/>
      <c r="E33" s="137"/>
      <c r="F33" s="464"/>
      <c r="G33" s="140"/>
      <c r="H33" s="141"/>
      <c r="I33" s="137"/>
      <c r="J33" s="137"/>
      <c r="K33" s="147"/>
      <c r="L33" s="147"/>
      <c r="M33" s="147"/>
      <c r="N33" s="147"/>
      <c r="O33" s="147"/>
      <c r="P33" s="260"/>
      <c r="Q33" s="153"/>
    </row>
    <row r="34" spans="1:17" ht="12.75" customHeight="1">
      <c r="A34" s="136"/>
      <c r="B34" s="137"/>
      <c r="C34" s="137"/>
      <c r="D34" s="137"/>
      <c r="E34" s="137"/>
      <c r="F34" s="464" t="str">
        <f>IF(OR(G34&lt;&gt;"",I34&lt;&gt;""),$A$14&amp;"."&amp;(ROW(G34)-12)/2,"")</f>
        <v/>
      </c>
      <c r="G34" s="137"/>
      <c r="H34" s="137"/>
      <c r="I34" s="137"/>
      <c r="J34" s="137"/>
      <c r="K34" s="146"/>
      <c r="L34" s="146"/>
      <c r="M34" s="146" t="str">
        <f>IF(F34&lt;&gt;"",IF(O34="R.I.F.",10,
                          IF(OR(LEFT($B$14,4)="100%",$B$14="OLEAR COM ÓLEO PROTETIVO",$B$14="MAGNAFLUX",$B$14="DESEMPENAR"),"100%",
                          IF(OR(P34="C",P34="E"),4,IF(P34="D",6,2)))),"")</f>
        <v/>
      </c>
      <c r="N34" s="146"/>
      <c r="O34" s="146" t="str">
        <f>IF(F34&lt;&gt;"",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34" s="259"/>
      <c r="Q34" s="152" t="str">
        <f>IF(F34&lt;&gt;"","IT 9.4.9.","")</f>
        <v/>
      </c>
    </row>
    <row r="35" spans="1:17" ht="12.75" customHeight="1">
      <c r="A35" s="136"/>
      <c r="B35" s="137"/>
      <c r="C35" s="137"/>
      <c r="D35" s="137"/>
      <c r="E35" s="137"/>
      <c r="F35" s="464"/>
      <c r="G35" s="137"/>
      <c r="H35" s="137"/>
      <c r="I35" s="137"/>
      <c r="J35" s="137"/>
      <c r="K35" s="147"/>
      <c r="L35" s="147"/>
      <c r="M35" s="147"/>
      <c r="N35" s="147"/>
      <c r="O35" s="147"/>
      <c r="P35" s="260"/>
      <c r="Q35" s="153"/>
    </row>
    <row r="36" spans="1:17" ht="12.75" customHeight="1">
      <c r="A36" s="136"/>
      <c r="B36" s="137"/>
      <c r="C36" s="137"/>
      <c r="D36" s="137"/>
      <c r="E36" s="137"/>
      <c r="F36" s="464" t="str">
        <f>IF(OR(G36&lt;&gt;"",I36&lt;&gt;""),$A$14&amp;"."&amp;(ROW(G36)-12)/2,"")</f>
        <v/>
      </c>
      <c r="G36" s="138"/>
      <c r="H36" s="139"/>
      <c r="I36" s="137"/>
      <c r="J36" s="137"/>
      <c r="K36" s="146"/>
      <c r="L36" s="146"/>
      <c r="M36" s="146" t="str">
        <f>IF(F36&lt;&gt;"",IF(O36="R.I.F.",10,
                          IF(OR(LEFT($B$14,4)="100%",$B$14="OLEAR COM ÓLEO PROTETIVO",$B$14="MAGNAFLUX",$B$14="DESEMPENAR"),"100%",
                          IF(OR(P36="C",P36="E"),4,IF(P36="D",6,2)))),"")</f>
        <v/>
      </c>
      <c r="N36" s="146"/>
      <c r="O36" s="146" t="str">
        <f>IF(F36&lt;&gt;"",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36" s="259"/>
      <c r="Q36" s="152" t="str">
        <f>IF(F36&lt;&gt;"","IT 9.4.9.","")</f>
        <v/>
      </c>
    </row>
    <row r="37" spans="1:17" ht="12.75" customHeight="1">
      <c r="A37" s="136"/>
      <c r="B37" s="137"/>
      <c r="C37" s="137"/>
      <c r="D37" s="137"/>
      <c r="E37" s="137"/>
      <c r="F37" s="464"/>
      <c r="G37" s="140"/>
      <c r="H37" s="141"/>
      <c r="I37" s="137"/>
      <c r="J37" s="137"/>
      <c r="K37" s="147"/>
      <c r="L37" s="147"/>
      <c r="M37" s="147"/>
      <c r="N37" s="147"/>
      <c r="O37" s="147"/>
      <c r="P37" s="260"/>
      <c r="Q37" s="153"/>
    </row>
    <row r="38" spans="1:17" ht="12.75" customHeight="1">
      <c r="A38" s="136"/>
      <c r="B38" s="137"/>
      <c r="C38" s="137"/>
      <c r="D38" s="137"/>
      <c r="E38" s="137"/>
      <c r="F38" s="464" t="str">
        <f>IF(OR(G38&lt;&gt;"",I38&lt;&gt;""),$A$14&amp;"."&amp;(ROW(G38)-12)/2,"")</f>
        <v/>
      </c>
      <c r="G38" s="137"/>
      <c r="H38" s="137"/>
      <c r="I38" s="137"/>
      <c r="J38" s="137"/>
      <c r="K38" s="146"/>
      <c r="L38" s="146"/>
      <c r="M38" s="146" t="str">
        <f>IF(F38&lt;&gt;"",IF(O38="R.I.F.",10,
                          IF(OR(LEFT($B$14,4)="100%",$B$14="OLEAR COM ÓLEO PROTETIVO",$B$14="MAGNAFLUX",$B$14="DESEMPENAR"),"100%",
                          IF(OR(P38="C",P38="E"),4,IF(P38="D",6,2)))),"")</f>
        <v/>
      </c>
      <c r="N38" s="146"/>
      <c r="O38" s="146" t="str">
        <f>IF(F38&lt;&gt;"",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38" s="259"/>
      <c r="Q38" s="152" t="str">
        <f>IF(F38&lt;&gt;"","IT 9.4.9.","")</f>
        <v/>
      </c>
    </row>
    <row r="39" spans="1:17" ht="12.75" customHeight="1">
      <c r="A39" s="136"/>
      <c r="B39" s="137"/>
      <c r="C39" s="137"/>
      <c r="D39" s="137"/>
      <c r="E39" s="137"/>
      <c r="F39" s="464"/>
      <c r="G39" s="137"/>
      <c r="H39" s="137"/>
      <c r="I39" s="137"/>
      <c r="J39" s="137"/>
      <c r="K39" s="147"/>
      <c r="L39" s="147"/>
      <c r="M39" s="147"/>
      <c r="N39" s="147"/>
      <c r="O39" s="147"/>
      <c r="P39" s="260"/>
      <c r="Q39" s="153"/>
    </row>
    <row r="40" spans="1:17" ht="12.75" customHeight="1">
      <c r="A40" s="136"/>
      <c r="B40" s="137"/>
      <c r="C40" s="137"/>
      <c r="D40" s="137"/>
      <c r="E40" s="137"/>
      <c r="F40" s="464" t="str">
        <f>IF(OR(G40&lt;&gt;"",I40&lt;&gt;""),$A$14&amp;"."&amp;(ROW(G40)-12)/2,"")</f>
        <v/>
      </c>
      <c r="G40" s="138"/>
      <c r="H40" s="139"/>
      <c r="I40" s="138"/>
      <c r="J40" s="139"/>
      <c r="K40" s="146"/>
      <c r="L40" s="146"/>
      <c r="M40" s="146" t="str">
        <f>IF(F40&lt;&gt;"",IF(O40="R.I.F.",10,
                          IF(OR(LEFT($B$14,4)="100%",$B$14="OLEAR COM ÓLEO PROTETIVO",$B$14="MAGNAFLUX",$B$14="DESEMPENAR"),"100%",
                          IF(OR(P40="C",P40="E"),4,IF(P40="D",6,2)))),"")</f>
        <v/>
      </c>
      <c r="N40" s="146"/>
      <c r="O40" s="146" t="str">
        <f>IF(F40&lt;&gt;"",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40" s="259"/>
      <c r="Q40" s="152" t="str">
        <f>IF(F40&lt;&gt;"","IT 9.4.9.","")</f>
        <v/>
      </c>
    </row>
    <row r="41" spans="1:17" ht="12.75" customHeight="1">
      <c r="A41" s="136"/>
      <c r="B41" s="137"/>
      <c r="C41" s="137"/>
      <c r="D41" s="137"/>
      <c r="E41" s="137"/>
      <c r="F41" s="464"/>
      <c r="G41" s="140"/>
      <c r="H41" s="141"/>
      <c r="I41" s="140"/>
      <c r="J41" s="141"/>
      <c r="K41" s="147"/>
      <c r="L41" s="147"/>
      <c r="M41" s="147"/>
      <c r="N41" s="147"/>
      <c r="O41" s="147"/>
      <c r="P41" s="260"/>
      <c r="Q41" s="153"/>
    </row>
    <row r="42" spans="1:17" ht="12.75" customHeight="1">
      <c r="A42" s="136"/>
      <c r="B42" s="137"/>
      <c r="C42" s="137"/>
      <c r="D42" s="137"/>
      <c r="E42" s="137"/>
      <c r="F42" s="464" t="str">
        <f>IF(OR(G42&lt;&gt;"",I42&lt;&gt;""),$A$14&amp;"."&amp;(ROW(G42)-12)/2,"")</f>
        <v/>
      </c>
      <c r="G42" s="138"/>
      <c r="H42" s="139"/>
      <c r="I42" s="138"/>
      <c r="J42" s="139"/>
      <c r="K42" s="146"/>
      <c r="L42" s="146"/>
      <c r="M42" s="146" t="str">
        <f>IF(F42&lt;&gt;"",IF(O42="R.I.F.",10,
                          IF(OR(LEFT($B$14,4)="100%",$B$14="OLEAR COM ÓLEO PROTETIVO",$B$14="MAGNAFLUX",$B$14="DESEMPENAR"),"100%",
                          IF(OR(P42="C",P42="E"),4,IF(P42="D",6,2)))),"")</f>
        <v/>
      </c>
      <c r="N42" s="146"/>
      <c r="O42" s="146" t="str">
        <f>IF(F42&lt;&gt;"",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42" s="259"/>
      <c r="Q42" s="152" t="str">
        <f>IF(F42&lt;&gt;"","IT 9.4.9.","")</f>
        <v/>
      </c>
    </row>
    <row r="43" spans="1:17" ht="12.75" customHeight="1">
      <c r="A43" s="136"/>
      <c r="B43" s="137"/>
      <c r="C43" s="137"/>
      <c r="D43" s="137"/>
      <c r="E43" s="137"/>
      <c r="F43" s="464"/>
      <c r="G43" s="140"/>
      <c r="H43" s="141"/>
      <c r="I43" s="140"/>
      <c r="J43" s="141"/>
      <c r="K43" s="147"/>
      <c r="L43" s="147"/>
      <c r="M43" s="147"/>
      <c r="N43" s="147"/>
      <c r="O43" s="147"/>
      <c r="P43" s="260"/>
      <c r="Q43" s="153"/>
    </row>
    <row r="44" spans="1:17" ht="12.75" customHeight="1">
      <c r="A44" s="163"/>
      <c r="B44" s="138"/>
      <c r="C44" s="139"/>
      <c r="D44" s="138"/>
      <c r="E44" s="139"/>
      <c r="F44" s="464" t="str">
        <f>IF(OR(G44&lt;&gt;"",I44&lt;&gt;""),$A$14&amp;"."&amp;(ROW(G44)-12)/2,"")</f>
        <v/>
      </c>
      <c r="G44" s="137"/>
      <c r="H44" s="137"/>
      <c r="I44" s="137"/>
      <c r="J44" s="137"/>
      <c r="K44" s="137"/>
      <c r="L44" s="146"/>
      <c r="M44" s="146" t="str">
        <f>IF(F44&lt;&gt;"",IF(O44="R.I.F.",10,
                          IF(OR(LEFT($B$14,4)="100%",$B$14="OLEAR COM ÓLEO PROTETIVO",$B$14="MAGNAFLUX",$B$14="DESEMPENAR"),"100%",
                          IF(OR(P44="C",P44="E"),4,IF(P44="D",6,2)))),"")</f>
        <v/>
      </c>
      <c r="N44" s="146"/>
      <c r="O44" s="146" t="str">
        <f>IF(F44&lt;&gt;"",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44" s="259"/>
      <c r="Q44" s="152" t="str">
        <f>IF(F44&lt;&gt;"","IT 9.4.9.","")</f>
        <v/>
      </c>
    </row>
    <row r="45" spans="1:17" ht="12.75" customHeight="1">
      <c r="A45" s="261"/>
      <c r="B45" s="140"/>
      <c r="C45" s="141"/>
      <c r="D45" s="140"/>
      <c r="E45" s="141"/>
      <c r="F45" s="464"/>
      <c r="G45" s="146"/>
      <c r="H45" s="146"/>
      <c r="I45" s="146"/>
      <c r="J45" s="146"/>
      <c r="K45" s="146"/>
      <c r="L45" s="147"/>
      <c r="M45" s="147"/>
      <c r="N45" s="147"/>
      <c r="O45" s="147"/>
      <c r="P45" s="260"/>
      <c r="Q45" s="153"/>
    </row>
    <row r="46" spans="1:17" ht="12.75" customHeight="1">
      <c r="A46" s="163"/>
      <c r="B46" s="138"/>
      <c r="C46" s="139"/>
      <c r="D46" s="138"/>
      <c r="E46" s="139"/>
      <c r="F46" s="464" t="str">
        <f>IF(OR(G46&lt;&gt;"",I46&lt;&gt;""),$A$14&amp;"."&amp;(ROW(G46)-12)/2,"")</f>
        <v/>
      </c>
      <c r="G46" s="138"/>
      <c r="H46" s="139"/>
      <c r="I46" s="137"/>
      <c r="J46" s="137"/>
      <c r="K46" s="146"/>
      <c r="L46" s="146"/>
      <c r="M46" s="146" t="str">
        <f>IF(F46&lt;&gt;"",IF(O46="R.I.F.",10,
                          IF(OR(LEFT($B$14,4)="100%",$B$14="OLEAR COM ÓLEO PROTETIVO",$B$14="MAGNAFLUX",$B$14="DESEMPENAR"),"100%",
                          IF(OR(P46="C",P46="E"),4,IF(P46="D",6,2)))),"")</f>
        <v/>
      </c>
      <c r="N46" s="146"/>
      <c r="O46" s="146" t="str">
        <f>IF(F46&lt;&gt;"",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46" s="259"/>
      <c r="Q46" s="152" t="str">
        <f>IF(F46&lt;&gt;"","IT 9.4.9.","")</f>
        <v/>
      </c>
    </row>
    <row r="47" spans="1:17" ht="12.75" customHeight="1">
      <c r="A47" s="261"/>
      <c r="B47" s="140"/>
      <c r="C47" s="141"/>
      <c r="D47" s="140"/>
      <c r="E47" s="141"/>
      <c r="F47" s="464"/>
      <c r="G47" s="140"/>
      <c r="H47" s="141"/>
      <c r="I47" s="137"/>
      <c r="J47" s="137"/>
      <c r="K47" s="147"/>
      <c r="L47" s="147"/>
      <c r="M47" s="147"/>
      <c r="N47" s="147"/>
      <c r="O47" s="147"/>
      <c r="P47" s="260"/>
      <c r="Q47" s="153"/>
    </row>
    <row r="48" spans="1:17" ht="12.75" customHeight="1">
      <c r="A48" s="136"/>
      <c r="B48" s="137"/>
      <c r="C48" s="137"/>
      <c r="D48" s="137"/>
      <c r="E48" s="137"/>
      <c r="F48" s="464" t="str">
        <f>IF(OR(G48&lt;&gt;"",I48&lt;&gt;""),$A$14&amp;"."&amp;(ROW(G48)-12)/2,"")</f>
        <v/>
      </c>
      <c r="G48" s="138"/>
      <c r="H48" s="139"/>
      <c r="I48" s="137"/>
      <c r="J48" s="137"/>
      <c r="K48" s="146"/>
      <c r="L48" s="146"/>
      <c r="M48" s="146" t="str">
        <f>IF(F48&lt;&gt;"",IF(O48="R.I.F.",10,
                          IF(OR(LEFT($B$14,4)="100%",$B$14="OLEAR COM ÓLEO PROTETIVO",$B$14="MAGNAFLUX",$B$14="DESEMPENAR"),"100%",
                          IF(OR(P48="C",P48="E"),4,IF(P48="D",6,2)))),"")</f>
        <v/>
      </c>
      <c r="N48" s="146"/>
      <c r="O48" s="146" t="str">
        <f>IF(F48&lt;&gt;"",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48" s="259"/>
      <c r="Q48" s="152" t="str">
        <f>IF(F48&lt;&gt;"","IT 9.4.9.","")</f>
        <v/>
      </c>
    </row>
    <row r="49" spans="1:17" ht="12.75" customHeight="1">
      <c r="A49" s="163"/>
      <c r="B49" s="146"/>
      <c r="C49" s="146"/>
      <c r="D49" s="146"/>
      <c r="E49" s="146"/>
      <c r="F49" s="464"/>
      <c r="G49" s="140"/>
      <c r="H49" s="141"/>
      <c r="I49" s="137"/>
      <c r="J49" s="137"/>
      <c r="K49" s="147"/>
      <c r="L49" s="147"/>
      <c r="M49" s="147"/>
      <c r="N49" s="147"/>
      <c r="O49" s="147"/>
      <c r="P49" s="260"/>
      <c r="Q49" s="153"/>
    </row>
    <row r="50" spans="1:17" ht="12.75" customHeight="1">
      <c r="A50" s="136"/>
      <c r="B50" s="137"/>
      <c r="C50" s="137"/>
      <c r="D50" s="137"/>
      <c r="E50" s="137"/>
      <c r="F50" s="464" t="str">
        <f>IF(OR(G50&lt;&gt;"",I50&lt;&gt;""),$A$14&amp;"."&amp;(ROW(G50)-12)/2,"")</f>
        <v/>
      </c>
      <c r="G50" s="137"/>
      <c r="H50" s="137"/>
      <c r="I50" s="137"/>
      <c r="J50" s="137"/>
      <c r="K50" s="146"/>
      <c r="L50" s="146"/>
      <c r="M50" s="146" t="str">
        <f>IF(F50&lt;&gt;"",IF(O50="R.I.F.",10,
                          IF(OR(LEFT($B$14,4)="100%",$B$14="OLEAR COM ÓLEO PROTETIVO",$B$14="MAGNAFLUX",$B$14="DESEMPENAR"),"100%",
                          IF(OR(P50="C",P50="E"),4,IF(P50="D",6,2)))),"")</f>
        <v/>
      </c>
      <c r="N50" s="146"/>
      <c r="O50" s="146" t="str">
        <f>IF(F50&lt;&gt;"",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50" s="259"/>
      <c r="Q50" s="152" t="str">
        <f>IF(F50&lt;&gt;"","IT 9.4.9.","")</f>
        <v/>
      </c>
    </row>
    <row r="51" spans="1:17" ht="12.75" customHeight="1">
      <c r="A51" s="163"/>
      <c r="B51" s="146"/>
      <c r="C51" s="146"/>
      <c r="D51" s="146"/>
      <c r="E51" s="146"/>
      <c r="F51" s="464"/>
      <c r="G51" s="146"/>
      <c r="H51" s="146"/>
      <c r="I51" s="146"/>
      <c r="J51" s="146"/>
      <c r="K51" s="147"/>
      <c r="L51" s="147"/>
      <c r="M51" s="147"/>
      <c r="N51" s="147"/>
      <c r="O51" s="147"/>
      <c r="P51" s="260"/>
      <c r="Q51" s="153"/>
    </row>
    <row r="52" spans="1:17" ht="12.75" customHeight="1">
      <c r="A52" s="136"/>
      <c r="B52" s="137"/>
      <c r="C52" s="137"/>
      <c r="D52" s="137"/>
      <c r="E52" s="137"/>
      <c r="F52" s="464" t="str">
        <f>IF(OR(G52&lt;&gt;"",I52&lt;&gt;""),$A$14&amp;"."&amp;(ROW(G52)-12)/2,"")</f>
        <v/>
      </c>
      <c r="G52" s="137"/>
      <c r="H52" s="137"/>
      <c r="I52" s="137"/>
      <c r="J52" s="137"/>
      <c r="K52" s="137"/>
      <c r="L52" s="146"/>
      <c r="M52" s="146" t="str">
        <f>IF(F52&lt;&gt;"",IF(O52="R.I.F.",10,
                          IF(OR(LEFT($B$14,4)="100%",$B$14="OLEAR COM ÓLEO PROTETIVO",$B$14="MAGNAFLUX",$B$14="DESEMPENAR"),"100%",
                          IF(OR(P52="C",P52="E"),4,IF(P52="D",6,2)))),"")</f>
        <v/>
      </c>
      <c r="N52" s="146"/>
      <c r="O52" s="146" t="str">
        <f>IF(F52&lt;&gt;"",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52" s="259"/>
      <c r="Q52" s="152" t="str">
        <f>IF(F52&lt;&gt;"","IT 9.4.9.","")</f>
        <v/>
      </c>
    </row>
    <row r="53" spans="1:17" ht="12.75" customHeight="1">
      <c r="A53" s="163"/>
      <c r="B53" s="146"/>
      <c r="C53" s="146"/>
      <c r="D53" s="146"/>
      <c r="E53" s="146"/>
      <c r="F53" s="464"/>
      <c r="G53" s="146"/>
      <c r="H53" s="146"/>
      <c r="I53" s="146"/>
      <c r="J53" s="146"/>
      <c r="K53" s="146"/>
      <c r="L53" s="147"/>
      <c r="M53" s="147"/>
      <c r="N53" s="147"/>
      <c r="O53" s="147"/>
      <c r="P53" s="260"/>
      <c r="Q53" s="153"/>
    </row>
    <row r="54" spans="1:17" ht="12.75" customHeight="1">
      <c r="A54" s="136"/>
      <c r="B54" s="137"/>
      <c r="C54" s="137"/>
      <c r="D54" s="137"/>
      <c r="E54" s="137"/>
      <c r="F54" s="464" t="str">
        <f>IF(OR(G54&lt;&gt;"",I54&lt;&gt;""),$A$14&amp;"."&amp;(ROW(G54)-12)/2,"")</f>
        <v/>
      </c>
      <c r="G54" s="137"/>
      <c r="H54" s="137"/>
      <c r="I54" s="137"/>
      <c r="J54" s="137"/>
      <c r="K54" s="146"/>
      <c r="L54" s="137"/>
      <c r="M54" s="146" t="str">
        <f>IF(F54&lt;&gt;"",IF(O54="R.I.F.",10,
                          IF(OR(LEFT($B$14,4)="100%",$B$14="OLEAR COM ÓLEO PROTETIVO",$B$14="MAGNAFLUX",$B$14="DESEMPENAR"),"100%",
                          IF(OR(P54="C",P54="E"),4,IF(P54="D",6,2)))),"")</f>
        <v/>
      </c>
      <c r="N54" s="146"/>
      <c r="O54" s="146" t="str">
        <f>IF(F54&lt;&gt;"",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54" s="259"/>
      <c r="Q54" s="152" t="str">
        <f>IF(F54&lt;&gt;"","IT 9.4.9.","")</f>
        <v/>
      </c>
    </row>
    <row r="55" spans="1:17" ht="12.75" customHeight="1">
      <c r="A55" s="136"/>
      <c r="B55" s="137"/>
      <c r="C55" s="137"/>
      <c r="D55" s="137"/>
      <c r="E55" s="137"/>
      <c r="F55" s="464"/>
      <c r="G55" s="137"/>
      <c r="H55" s="137"/>
      <c r="I55" s="137"/>
      <c r="J55" s="137"/>
      <c r="K55" s="147"/>
      <c r="L55" s="137"/>
      <c r="M55" s="147"/>
      <c r="N55" s="147"/>
      <c r="O55" s="147"/>
      <c r="P55" s="260"/>
      <c r="Q55" s="153"/>
    </row>
    <row r="56" spans="1:17" ht="12.75" customHeight="1">
      <c r="A56" s="136"/>
      <c r="B56" s="137"/>
      <c r="C56" s="137"/>
      <c r="D56" s="137"/>
      <c r="E56" s="137"/>
      <c r="F56" s="464" t="str">
        <f>IF(OR(G56&lt;&gt;"",I56&lt;&gt;""),$A$14&amp;"."&amp;(ROW(G56)-12)/2,"")</f>
        <v/>
      </c>
      <c r="G56" s="137"/>
      <c r="H56" s="137"/>
      <c r="I56" s="137"/>
      <c r="J56" s="137"/>
      <c r="K56" s="137"/>
      <c r="L56" s="137"/>
      <c r="M56" s="146" t="str">
        <f>IF(F56&lt;&gt;"",IF(O56="R.I.F.",10,
                          IF(OR(LEFT($B$14,4)="100%",$B$14="OLEAR COM ÓLEO PROTETIVO",$B$14="MAGNAFLUX",$B$14="DESEMPENAR"),"100%",
                          IF(OR(P56="C",P56="E"),4,IF(P56="D",6,2)))),"")</f>
        <v/>
      </c>
      <c r="N56" s="146"/>
      <c r="O56" s="146" t="str">
        <f>IF(F56&lt;&gt;"",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56" s="259"/>
      <c r="Q56" s="152" t="str">
        <f>IF(F56&lt;&gt;"","IT 9.4.9.","")</f>
        <v/>
      </c>
    </row>
    <row r="57" spans="1:17" ht="13.5" customHeight="1">
      <c r="A57" s="136"/>
      <c r="B57" s="137"/>
      <c r="C57" s="137"/>
      <c r="D57" s="137"/>
      <c r="E57" s="137"/>
      <c r="F57" s="464"/>
      <c r="G57" s="137"/>
      <c r="H57" s="137"/>
      <c r="I57" s="137"/>
      <c r="J57" s="137"/>
      <c r="K57" s="137"/>
      <c r="L57" s="137"/>
      <c r="M57" s="147"/>
      <c r="N57" s="147"/>
      <c r="O57" s="147"/>
      <c r="P57" s="260"/>
      <c r="Q57" s="153"/>
    </row>
    <row r="58" spans="1:17" ht="12.75" customHeight="1">
      <c r="A58" s="136"/>
      <c r="B58" s="137"/>
      <c r="C58" s="137"/>
      <c r="D58" s="137"/>
      <c r="E58" s="137"/>
      <c r="F58" s="464" t="str">
        <f>IF(OR(G58&lt;&gt;"",I58&lt;&gt;""),$A$14&amp;"."&amp;(ROW(G58)-12)/2,"")</f>
        <v/>
      </c>
      <c r="G58" s="137"/>
      <c r="H58" s="137"/>
      <c r="I58" s="137"/>
      <c r="J58" s="137"/>
      <c r="K58" s="137"/>
      <c r="L58" s="137"/>
      <c r="M58" s="146" t="str">
        <f>IF(F58&lt;&gt;"",IF(O58="R.I.F.",10,
                          IF(OR(LEFT($B$14,4)="100%",$B$14="OLEAR COM ÓLEO PROTETIVO",$B$14="MAGNAFLUX",$B$14="DESEMPENAR"),"100%",
                          IF(OR(P58="C",P58="E"),4,IF(P58="D",6,2)))),"")</f>
        <v/>
      </c>
      <c r="N58" s="146"/>
      <c r="O58" s="146" t="str">
        <f>IF(F58&lt;&gt;"",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58" s="259"/>
      <c r="Q58" s="152" t="str">
        <f>IF(F58&lt;&gt;"","IT 9.4.9.","")</f>
        <v/>
      </c>
    </row>
    <row r="59" spans="1:17" ht="13.5" customHeight="1" thickBot="1">
      <c r="A59" s="136"/>
      <c r="B59" s="137"/>
      <c r="C59" s="137"/>
      <c r="D59" s="137"/>
      <c r="E59" s="137"/>
      <c r="F59" s="464"/>
      <c r="G59" s="137"/>
      <c r="H59" s="137"/>
      <c r="I59" s="137"/>
      <c r="J59" s="137"/>
      <c r="K59" s="137"/>
      <c r="L59" s="137"/>
      <c r="M59" s="147"/>
      <c r="N59" s="147"/>
      <c r="O59" s="147"/>
      <c r="P59" s="260"/>
      <c r="Q59" s="153"/>
    </row>
    <row r="60" spans="1:17" ht="12.75" customHeight="1">
      <c r="A60" s="295" t="s">
        <v>53</v>
      </c>
      <c r="B60" s="296"/>
      <c r="C60" s="296"/>
      <c r="D60" s="296"/>
      <c r="E60" s="297"/>
      <c r="F60" s="464" t="str">
        <f>IF(OR(G60&lt;&gt;"",I60&lt;&gt;""),$A$14&amp;"."&amp;(ROW(G60)-12)/2,"")</f>
        <v/>
      </c>
      <c r="G60" s="137"/>
      <c r="H60" s="137"/>
      <c r="I60" s="137"/>
      <c r="J60" s="137"/>
      <c r="K60" s="137"/>
      <c r="L60" s="137"/>
      <c r="M60" s="146" t="str">
        <f>IF(F60&lt;&gt;"",IF(O60="R.I.F.",10,
                          IF(OR(LEFT($B$14,4)="100%",$B$14="OLEAR COM ÓLEO PROTETIVO",$B$14="MAGNAFLUX",$B$14="DESEMPENAR"),"100%",
                          IF(OR(P60="C",P60="E"),4,IF(P60="D",6,2)))),"")</f>
        <v/>
      </c>
      <c r="N60" s="146"/>
      <c r="O60" s="146" t="str">
        <f>IF(F60&lt;&gt;"",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60" s="259"/>
      <c r="Q60" s="152" t="str">
        <f>IF(F60&lt;&gt;"","IT 9.4.9.","")</f>
        <v/>
      </c>
    </row>
    <row r="61" spans="1:17" ht="12.75" customHeight="1">
      <c r="A61" s="298"/>
      <c r="B61" s="299"/>
      <c r="C61" s="299"/>
      <c r="D61" s="299"/>
      <c r="E61" s="300"/>
      <c r="F61" s="464"/>
      <c r="G61" s="137"/>
      <c r="H61" s="137"/>
      <c r="I61" s="137"/>
      <c r="J61" s="137"/>
      <c r="K61" s="137"/>
      <c r="L61" s="137"/>
      <c r="M61" s="147"/>
      <c r="N61" s="147"/>
      <c r="O61" s="147"/>
      <c r="P61" s="260"/>
      <c r="Q61" s="153"/>
    </row>
    <row r="62" spans="1:17" ht="15.75" customHeight="1">
      <c r="A62" s="37" t="s">
        <v>43</v>
      </c>
      <c r="B62" s="290" t="s">
        <v>54</v>
      </c>
      <c r="C62" s="291"/>
      <c r="D62" s="291"/>
      <c r="E62" s="292"/>
      <c r="F62" s="464" t="str">
        <f>IF(OR(G62&lt;&gt;"",I62&lt;&gt;""),$A$14&amp;"."&amp;(ROW(G62)-12)/2,"")</f>
        <v/>
      </c>
      <c r="G62" s="165"/>
      <c r="H62" s="165"/>
      <c r="I62" s="138"/>
      <c r="J62" s="139"/>
      <c r="K62" s="137"/>
      <c r="L62" s="137"/>
      <c r="M62" s="146" t="str">
        <f>IF(F62&lt;&gt;"",IF(O62="R.I.F.",10,
                          IF(OR(LEFT($B$14,4)="100%",$B$14="OLEAR COM ÓLEO PROTETIVO",$B$14="MAGNAFLUX",$B$14="DESEMPENAR"),"100%",
                          IF(OR(P62="C",P62="E"),4,IF(P62="D",6,2)))),"")</f>
        <v/>
      </c>
      <c r="N62" s="146"/>
      <c r="O62" s="146" t="str">
        <f>IF(F62&lt;&gt;"",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62" s="259"/>
      <c r="Q62" s="152" t="str">
        <f>IF(F62&lt;&gt;"","IT 9.4.9.","")</f>
        <v/>
      </c>
    </row>
    <row r="63" spans="1:17" ht="15.75" customHeight="1">
      <c r="A63" s="37" t="s">
        <v>55</v>
      </c>
      <c r="B63" s="290" t="s">
        <v>56</v>
      </c>
      <c r="C63" s="291"/>
      <c r="D63" s="291"/>
      <c r="E63" s="292"/>
      <c r="F63" s="464"/>
      <c r="G63" s="165"/>
      <c r="H63" s="165"/>
      <c r="I63" s="140"/>
      <c r="J63" s="141"/>
      <c r="K63" s="137"/>
      <c r="L63" s="137"/>
      <c r="M63" s="147"/>
      <c r="N63" s="147"/>
      <c r="O63" s="147"/>
      <c r="P63" s="260"/>
      <c r="Q63" s="153"/>
    </row>
    <row r="64" spans="1:17" ht="15.75" customHeight="1">
      <c r="A64" s="37" t="s">
        <v>52</v>
      </c>
      <c r="B64" s="290" t="s">
        <v>57</v>
      </c>
      <c r="C64" s="291"/>
      <c r="D64" s="291"/>
      <c r="E64" s="292"/>
      <c r="F64" s="464" t="str">
        <f>IF(OR(G64&lt;&gt;"",I64&lt;&gt;""),$A$14&amp;"."&amp;(ROW(G64)-12)/2,"")</f>
        <v/>
      </c>
      <c r="G64" s="165"/>
      <c r="H64" s="165"/>
      <c r="I64" s="137"/>
      <c r="J64" s="137"/>
      <c r="K64" s="137"/>
      <c r="L64" s="137"/>
      <c r="M64" s="146" t="str">
        <f>IF(F64&lt;&gt;"",IF(O64="R.I.F.",10,
                          IF(OR(LEFT($B$14,4)="100%",$B$14="OLEAR COM ÓLEO PROTETIVO",$B$14="MAGNAFLUX",$B$14="DESEMPENAR"),"100%",
                          IF(OR(P64="C",P64="E"),4,IF(P64="D",6,2)))),"")</f>
        <v/>
      </c>
      <c r="N64" s="137"/>
      <c r="O64" s="146" t="str">
        <f>IF(F64&lt;&gt;"",
                               IF(OR($B$14="ESTAMPAR",$B$14="LAMINAR ROSCA",$B$14="LAMINAR CANAIS",$B$14="ENDIREITAR",$B$14="CONFORMAR A FRIO",$B$14="FORJAR A QUENTE",$B$14="REPASSAR ROSCA",$B$14="LAMINAR RECARTILHA",$B$14="OLEAR COM ÓLEO PROTETIVO",$B$14="LAMINAR ESTRIAS",$B$14="LAMINAR ROSCA L1",$B$14="LAMINAR ROSCA L2",$B$14="USINAGEM MANUAL",$B$14="USINAGEM AUTOMÁTICA",$B$14="APONTAR",$B$14="FURAR E ESCAREAR",$B$14="FURAR",$B$14="CORTAR",$B$14="CORTE AUTOMÁTICO",$B$14="GRAVAR"),"R.I.P.",
                               IF(OR(LEFT($B$14,11)="RECEBIMENTO",$B$14="TRATAMENTO SUPERFICIAL",$B$14="TÊMPERA POR INDUÇÃO"),"R.I.R.",
                               IF(OR($B$14="DESEMPENAR",$B$14="JATEAR",$B$14="MAGNAFLUX",$B$14="QUEIMA DE ÓLEO",$B$14="LIMPEZA MECÂNICA",$B$14="DESEMPENAR 100%"),"R.I.","R.I.F."))),"")</f>
        <v/>
      </c>
      <c r="P64" s="303"/>
      <c r="Q64" s="152" t="str">
        <f>IF(F64&lt;&gt;"","IT 9.4.9.","")</f>
        <v/>
      </c>
    </row>
    <row r="65" spans="1:17" ht="13.5" customHeight="1" thickBot="1">
      <c r="A65" s="7"/>
      <c r="B65" s="8"/>
      <c r="C65" s="8"/>
      <c r="D65" s="8"/>
      <c r="E65" s="9"/>
      <c r="F65" s="464"/>
      <c r="G65" s="447"/>
      <c r="H65" s="447"/>
      <c r="I65" s="151"/>
      <c r="J65" s="151"/>
      <c r="K65" s="151"/>
      <c r="L65" s="151"/>
      <c r="M65" s="147"/>
      <c r="N65" s="151"/>
      <c r="O65" s="147"/>
      <c r="P65" s="304"/>
      <c r="Q65" s="153"/>
    </row>
  </sheetData>
  <sheetProtection sheet="1" formatCells="0" formatRows="0" insertRows="0" insertHyperlinks="0" deleteRows="0"/>
  <protectedRanges>
    <protectedRange sqref="Q4" name="Intervalo3"/>
    <protectedRange sqref="A14:A17 D56:E57 G20:L63 N20:N63 M20:M65 P20:P63 O20:O65 Q20:Q65" name="Intervalo1"/>
    <protectedRange sqref="A20:E45" name="Intervalo2"/>
    <protectedRange sqref="B14:E17 G14:Q19" name="Intervalo1_1"/>
  </protectedRanges>
  <dataConsolidate/>
  <mergeCells count="379">
    <mergeCell ref="P64:P65"/>
    <mergeCell ref="Q64:Q65"/>
    <mergeCell ref="B63:E63"/>
    <mergeCell ref="B64:E64"/>
    <mergeCell ref="F64:F65"/>
    <mergeCell ref="G64:H65"/>
    <mergeCell ref="I64:J65"/>
    <mergeCell ref="K64:K65"/>
    <mergeCell ref="L62:L63"/>
    <mergeCell ref="M62:M63"/>
    <mergeCell ref="N62:N63"/>
    <mergeCell ref="O62:O63"/>
    <mergeCell ref="P62:P63"/>
    <mergeCell ref="Q62:Q63"/>
    <mergeCell ref="B62:E62"/>
    <mergeCell ref="F62:F63"/>
    <mergeCell ref="G62:H63"/>
    <mergeCell ref="I62:J63"/>
    <mergeCell ref="K62:K63"/>
    <mergeCell ref="L64:L65"/>
    <mergeCell ref="M64:M65"/>
    <mergeCell ref="N64:N65"/>
    <mergeCell ref="O64:O65"/>
    <mergeCell ref="N58:N59"/>
    <mergeCell ref="O58:O59"/>
    <mergeCell ref="P58:P59"/>
    <mergeCell ref="Q58:Q59"/>
    <mergeCell ref="A60:E61"/>
    <mergeCell ref="F60:F61"/>
    <mergeCell ref="G60:H61"/>
    <mergeCell ref="I60:J61"/>
    <mergeCell ref="K60:K61"/>
    <mergeCell ref="L60:L61"/>
    <mergeCell ref="M60:M61"/>
    <mergeCell ref="N60:N61"/>
    <mergeCell ref="O60:O61"/>
    <mergeCell ref="P60:P61"/>
    <mergeCell ref="Q60:Q61"/>
    <mergeCell ref="A58:A59"/>
    <mergeCell ref="B58:C59"/>
    <mergeCell ref="D58:E59"/>
    <mergeCell ref="F58:F59"/>
    <mergeCell ref="G58:H59"/>
    <mergeCell ref="I58:J59"/>
    <mergeCell ref="K58:K59"/>
    <mergeCell ref="L58:L59"/>
    <mergeCell ref="M58:M59"/>
    <mergeCell ref="N54:N55"/>
    <mergeCell ref="O54:O55"/>
    <mergeCell ref="P54:P55"/>
    <mergeCell ref="Q54:Q55"/>
    <mergeCell ref="A56:A57"/>
    <mergeCell ref="B56:C57"/>
    <mergeCell ref="D56:E57"/>
    <mergeCell ref="F56:F57"/>
    <mergeCell ref="G56:H57"/>
    <mergeCell ref="I56:J57"/>
    <mergeCell ref="Q56:Q57"/>
    <mergeCell ref="K56:K57"/>
    <mergeCell ref="L56:L57"/>
    <mergeCell ref="M56:M57"/>
    <mergeCell ref="N56:N57"/>
    <mergeCell ref="O56:O57"/>
    <mergeCell ref="P56:P57"/>
    <mergeCell ref="A54:A55"/>
    <mergeCell ref="B54:C55"/>
    <mergeCell ref="D54:E55"/>
    <mergeCell ref="F54:F55"/>
    <mergeCell ref="G54:H55"/>
    <mergeCell ref="I54:J55"/>
    <mergeCell ref="K54:K55"/>
    <mergeCell ref="L54:L55"/>
    <mergeCell ref="M54:M55"/>
    <mergeCell ref="N50:N51"/>
    <mergeCell ref="O50:O51"/>
    <mergeCell ref="P50:P51"/>
    <mergeCell ref="Q50:Q51"/>
    <mergeCell ref="A52:A53"/>
    <mergeCell ref="B52:C53"/>
    <mergeCell ref="D52:E53"/>
    <mergeCell ref="F52:F53"/>
    <mergeCell ref="G52:H53"/>
    <mergeCell ref="I52:J53"/>
    <mergeCell ref="Q52:Q53"/>
    <mergeCell ref="K52:K53"/>
    <mergeCell ref="L52:L53"/>
    <mergeCell ref="M52:M53"/>
    <mergeCell ref="N52:N53"/>
    <mergeCell ref="O52:O53"/>
    <mergeCell ref="P52:P53"/>
    <mergeCell ref="A50:A51"/>
    <mergeCell ref="B50:C51"/>
    <mergeCell ref="D50:E51"/>
    <mergeCell ref="F50:F51"/>
    <mergeCell ref="G50:H51"/>
    <mergeCell ref="Q46:Q47"/>
    <mergeCell ref="A48:A49"/>
    <mergeCell ref="B48:C49"/>
    <mergeCell ref="D48:E49"/>
    <mergeCell ref="F48:F49"/>
    <mergeCell ref="G48:H49"/>
    <mergeCell ref="I48:J49"/>
    <mergeCell ref="Q48:Q49"/>
    <mergeCell ref="K48:K49"/>
    <mergeCell ref="L48:L49"/>
    <mergeCell ref="M48:M49"/>
    <mergeCell ref="N48:N49"/>
    <mergeCell ref="O48:O49"/>
    <mergeCell ref="P48:P49"/>
    <mergeCell ref="A46:A47"/>
    <mergeCell ref="B46:C47"/>
    <mergeCell ref="D46:E47"/>
    <mergeCell ref="N42:N43"/>
    <mergeCell ref="O42:O43"/>
    <mergeCell ref="P42:P43"/>
    <mergeCell ref="I50:J51"/>
    <mergeCell ref="K50:K51"/>
    <mergeCell ref="L50:L51"/>
    <mergeCell ref="M50:M51"/>
    <mergeCell ref="N46:N47"/>
    <mergeCell ref="O46:O47"/>
    <mergeCell ref="P46:P47"/>
    <mergeCell ref="G42:H43"/>
    <mergeCell ref="I42:J43"/>
    <mergeCell ref="K42:K43"/>
    <mergeCell ref="L42:L43"/>
    <mergeCell ref="M42:M43"/>
    <mergeCell ref="F46:F47"/>
    <mergeCell ref="G46:H47"/>
    <mergeCell ref="I46:J47"/>
    <mergeCell ref="K46:K47"/>
    <mergeCell ref="L46:L47"/>
    <mergeCell ref="M46:M47"/>
    <mergeCell ref="B38:C39"/>
    <mergeCell ref="D38:E39"/>
    <mergeCell ref="F38:F39"/>
    <mergeCell ref="G38:H39"/>
    <mergeCell ref="I38:J39"/>
    <mergeCell ref="K38:K39"/>
    <mergeCell ref="Q42:Q43"/>
    <mergeCell ref="A44:A45"/>
    <mergeCell ref="B44:C45"/>
    <mergeCell ref="D44:E45"/>
    <mergeCell ref="F44:F45"/>
    <mergeCell ref="G44:H45"/>
    <mergeCell ref="I44:J45"/>
    <mergeCell ref="Q44:Q45"/>
    <mergeCell ref="K44:K45"/>
    <mergeCell ref="L44:L45"/>
    <mergeCell ref="M44:M45"/>
    <mergeCell ref="N44:N45"/>
    <mergeCell ref="O44:O45"/>
    <mergeCell ref="P44:P45"/>
    <mergeCell ref="A42:A43"/>
    <mergeCell ref="B42:C43"/>
    <mergeCell ref="D42:E43"/>
    <mergeCell ref="F42:F43"/>
    <mergeCell ref="A40:A41"/>
    <mergeCell ref="B40:C41"/>
    <mergeCell ref="D40:E41"/>
    <mergeCell ref="F40:F41"/>
    <mergeCell ref="G40:H41"/>
    <mergeCell ref="I40:J41"/>
    <mergeCell ref="Q40:Q41"/>
    <mergeCell ref="K40:K41"/>
    <mergeCell ref="L40:L41"/>
    <mergeCell ref="M40:M41"/>
    <mergeCell ref="N40:N41"/>
    <mergeCell ref="O40:O41"/>
    <mergeCell ref="P40:P41"/>
    <mergeCell ref="L38:L39"/>
    <mergeCell ref="M38:M39"/>
    <mergeCell ref="G32:H33"/>
    <mergeCell ref="I32:J33"/>
    <mergeCell ref="N34:N35"/>
    <mergeCell ref="Q34:Q35"/>
    <mergeCell ref="A36:A37"/>
    <mergeCell ref="B36:C37"/>
    <mergeCell ref="D36:E37"/>
    <mergeCell ref="F36:F37"/>
    <mergeCell ref="G36:H37"/>
    <mergeCell ref="I36:J37"/>
    <mergeCell ref="Q36:Q37"/>
    <mergeCell ref="K36:K37"/>
    <mergeCell ref="L36:L37"/>
    <mergeCell ref="M36:M37"/>
    <mergeCell ref="N36:N37"/>
    <mergeCell ref="O36:O37"/>
    <mergeCell ref="P36:P37"/>
    <mergeCell ref="N38:N39"/>
    <mergeCell ref="O38:O39"/>
    <mergeCell ref="P38:P39"/>
    <mergeCell ref="Q38:Q39"/>
    <mergeCell ref="A38:A39"/>
    <mergeCell ref="P28:P29"/>
    <mergeCell ref="Q28:Q29"/>
    <mergeCell ref="Q32:Q33"/>
    <mergeCell ref="A34:A35"/>
    <mergeCell ref="B34:C35"/>
    <mergeCell ref="D34:E35"/>
    <mergeCell ref="F34:F35"/>
    <mergeCell ref="G34:H35"/>
    <mergeCell ref="I34:J35"/>
    <mergeCell ref="K34:K35"/>
    <mergeCell ref="L34:L35"/>
    <mergeCell ref="M34:M35"/>
    <mergeCell ref="K32:K33"/>
    <mergeCell ref="L32:L33"/>
    <mergeCell ref="M32:M33"/>
    <mergeCell ref="N32:N33"/>
    <mergeCell ref="O32:O33"/>
    <mergeCell ref="P32:P33"/>
    <mergeCell ref="A32:A33"/>
    <mergeCell ref="B32:C33"/>
    <mergeCell ref="D32:E33"/>
    <mergeCell ref="F32:F33"/>
    <mergeCell ref="O34:O35"/>
    <mergeCell ref="P34:P35"/>
    <mergeCell ref="K30:K31"/>
    <mergeCell ref="Q26:Q27"/>
    <mergeCell ref="A28:A29"/>
    <mergeCell ref="D28:E29"/>
    <mergeCell ref="F28:F29"/>
    <mergeCell ref="G28:H29"/>
    <mergeCell ref="I28:J29"/>
    <mergeCell ref="K28:K29"/>
    <mergeCell ref="L28:L29"/>
    <mergeCell ref="M28:M29"/>
    <mergeCell ref="N28:N29"/>
    <mergeCell ref="K26:K27"/>
    <mergeCell ref="L26:L27"/>
    <mergeCell ref="M26:M27"/>
    <mergeCell ref="N26:N27"/>
    <mergeCell ref="O26:O27"/>
    <mergeCell ref="P26:P27"/>
    <mergeCell ref="L30:L31"/>
    <mergeCell ref="M30:M31"/>
    <mergeCell ref="N30:N31"/>
    <mergeCell ref="O30:O31"/>
    <mergeCell ref="P30:P31"/>
    <mergeCell ref="Q30:Q31"/>
    <mergeCell ref="O28:O29"/>
    <mergeCell ref="A26:A27"/>
    <mergeCell ref="D26:E27"/>
    <mergeCell ref="F26:F27"/>
    <mergeCell ref="G26:H27"/>
    <mergeCell ref="I26:J27"/>
    <mergeCell ref="A30:A31"/>
    <mergeCell ref="B30:C31"/>
    <mergeCell ref="D30:E31"/>
    <mergeCell ref="F30:F31"/>
    <mergeCell ref="G30:H31"/>
    <mergeCell ref="I30:J31"/>
    <mergeCell ref="B26:C27"/>
    <mergeCell ref="B28:C29"/>
    <mergeCell ref="A18:A19"/>
    <mergeCell ref="B18:C19"/>
    <mergeCell ref="D18:E19"/>
    <mergeCell ref="O22:O23"/>
    <mergeCell ref="P22:P23"/>
    <mergeCell ref="Q22:Q23"/>
    <mergeCell ref="A24:A25"/>
    <mergeCell ref="D24:E25"/>
    <mergeCell ref="F24:F25"/>
    <mergeCell ref="G24:H25"/>
    <mergeCell ref="I24:J25"/>
    <mergeCell ref="K24:K25"/>
    <mergeCell ref="L24:L25"/>
    <mergeCell ref="M24:M25"/>
    <mergeCell ref="N24:N25"/>
    <mergeCell ref="O24:O25"/>
    <mergeCell ref="P24:P25"/>
    <mergeCell ref="Q24:Q25"/>
    <mergeCell ref="B22:C23"/>
    <mergeCell ref="B24:C25"/>
    <mergeCell ref="A22:A23"/>
    <mergeCell ref="D22:E23"/>
    <mergeCell ref="F22:F23"/>
    <mergeCell ref="G22:H23"/>
    <mergeCell ref="A20:A21"/>
    <mergeCell ref="D20:E21"/>
    <mergeCell ref="F20:F21"/>
    <mergeCell ref="G20:H21"/>
    <mergeCell ref="I20:J21"/>
    <mergeCell ref="Q20:Q21"/>
    <mergeCell ref="K20:K21"/>
    <mergeCell ref="L20:L21"/>
    <mergeCell ref="M20:M21"/>
    <mergeCell ref="N20:N21"/>
    <mergeCell ref="O20:O21"/>
    <mergeCell ref="P20:P21"/>
    <mergeCell ref="B20:C21"/>
    <mergeCell ref="M22:M23"/>
    <mergeCell ref="N22:N23"/>
    <mergeCell ref="P14:P15"/>
    <mergeCell ref="Q14:Q15"/>
    <mergeCell ref="Q12:Q13"/>
    <mergeCell ref="G13:H13"/>
    <mergeCell ref="I13:J13"/>
    <mergeCell ref="P12:P13"/>
    <mergeCell ref="Q16:Q17"/>
    <mergeCell ref="N16:N17"/>
    <mergeCell ref="O16:O17"/>
    <mergeCell ref="P16:P17"/>
    <mergeCell ref="G16:H17"/>
    <mergeCell ref="I16:J17"/>
    <mergeCell ref="N18:N19"/>
    <mergeCell ref="O18:O19"/>
    <mergeCell ref="P18:P19"/>
    <mergeCell ref="Q18:Q19"/>
    <mergeCell ref="I22:J23"/>
    <mergeCell ref="K22:K23"/>
    <mergeCell ref="L22:L23"/>
    <mergeCell ref="F18:F19"/>
    <mergeCell ref="G18:H19"/>
    <mergeCell ref="I18:J19"/>
    <mergeCell ref="K18:K19"/>
    <mergeCell ref="L18:L19"/>
    <mergeCell ref="M18:M19"/>
    <mergeCell ref="K16:K17"/>
    <mergeCell ref="L16:L17"/>
    <mergeCell ref="M16:M17"/>
    <mergeCell ref="F16:F17"/>
    <mergeCell ref="A16:A17"/>
    <mergeCell ref="B16:C17"/>
    <mergeCell ref="A14:A15"/>
    <mergeCell ref="B14:C15"/>
    <mergeCell ref="D14:E15"/>
    <mergeCell ref="F14:F15"/>
    <mergeCell ref="G14:H15"/>
    <mergeCell ref="I14:J15"/>
    <mergeCell ref="K14:K15"/>
    <mergeCell ref="D16:E17"/>
    <mergeCell ref="A12:A13"/>
    <mergeCell ref="B12:C13"/>
    <mergeCell ref="D12:E13"/>
    <mergeCell ref="F12:J12"/>
    <mergeCell ref="K12:O12"/>
    <mergeCell ref="L14:L15"/>
    <mergeCell ref="M14:M15"/>
    <mergeCell ref="N14:N15"/>
    <mergeCell ref="O14:O15"/>
    <mergeCell ref="A11:B11"/>
    <mergeCell ref="D11:E11"/>
    <mergeCell ref="F11:G11"/>
    <mergeCell ref="H11:J11"/>
    <mergeCell ref="K11:L11"/>
    <mergeCell ref="M11:O11"/>
    <mergeCell ref="A8:P8"/>
    <mergeCell ref="A9:G9"/>
    <mergeCell ref="H9:Q9"/>
    <mergeCell ref="A10:B10"/>
    <mergeCell ref="D10:E10"/>
    <mergeCell ref="F10:G10"/>
    <mergeCell ref="H10:J10"/>
    <mergeCell ref="K10:L10"/>
    <mergeCell ref="M10:O10"/>
    <mergeCell ref="M5:P5"/>
    <mergeCell ref="A6:B6"/>
    <mergeCell ref="C6:H6"/>
    <mergeCell ref="I6:L6"/>
    <mergeCell ref="M6:P6"/>
    <mergeCell ref="A7:P7"/>
    <mergeCell ref="A4:B4"/>
    <mergeCell ref="D4:F4"/>
    <mergeCell ref="G4:H4"/>
    <mergeCell ref="A5:B5"/>
    <mergeCell ref="C5:H5"/>
    <mergeCell ref="I5:L5"/>
    <mergeCell ref="A1:Q2"/>
    <mergeCell ref="A3:B3"/>
    <mergeCell ref="D3:F3"/>
    <mergeCell ref="G3:H3"/>
    <mergeCell ref="I3:I4"/>
    <mergeCell ref="J3:K4"/>
    <mergeCell ref="L3:L4"/>
    <mergeCell ref="M3:N4"/>
    <mergeCell ref="O3:O4"/>
    <mergeCell ref="P3:P4"/>
  </mergeCells>
  <conditionalFormatting sqref="A14:A15">
    <cfRule type="expression" dxfId="1" priority="2">
      <formula>$A$14=""</formula>
    </cfRule>
  </conditionalFormatting>
  <conditionalFormatting sqref="D4:F4">
    <cfRule type="cellIs" dxfId="0" priority="1" stopIfTrue="1" operator="equal">
      <formula>0</formula>
    </cfRule>
  </conditionalFormatting>
  <printOptions horizontalCentered="1" verticalCentered="1"/>
  <pageMargins left="0.27559055118110237" right="0.19685039370078741" top="0.47244094488188981" bottom="0.59055118110236227" header="0.23622047244094491" footer="0.31496062992125984"/>
  <pageSetup paperSize="9" scale="61" orientation="landscape" r:id="rId1"/>
  <headerFooter alignWithMargins="0">
    <oddFooter>&amp;LForm152- Rev 05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13</vt:i4>
      </vt:variant>
    </vt:vector>
  </HeadingPairs>
  <TitlesOfParts>
    <vt:vector size="26" baseType="lpstr">
      <vt:lpstr>MATERIA PRIMA</vt:lpstr>
      <vt:lpstr>ESTAMPAR</vt:lpstr>
      <vt:lpstr>TRAT. TÉRMICO</vt:lpstr>
      <vt:lpstr>TRAT. SUPERFICIAL</vt:lpstr>
      <vt:lpstr>INSP. FINAL</vt:lpstr>
      <vt:lpstr>EMBALAR </vt:lpstr>
      <vt:lpstr>INSTRUÇÕES</vt:lpstr>
      <vt:lpstr>ETM</vt:lpstr>
      <vt:lpstr>PROCESSO</vt:lpstr>
      <vt:lpstr>DADOS</vt:lpstr>
      <vt:lpstr>CADASTRO</vt:lpstr>
      <vt:lpstr>JATEAR</vt:lpstr>
      <vt:lpstr>MAGNAFLUX</vt:lpstr>
      <vt:lpstr>'EMBALAR '!Area_de_impressao</vt:lpstr>
      <vt:lpstr>ESTAMPAR!Area_de_impressao</vt:lpstr>
      <vt:lpstr>'INSP. FINAL'!Area_de_impressao</vt:lpstr>
      <vt:lpstr>INSTRUÇÕES!Area_de_impressao</vt:lpstr>
      <vt:lpstr>JATEAR!Area_de_impressao</vt:lpstr>
      <vt:lpstr>MAGNAFLUX!Area_de_impressao</vt:lpstr>
      <vt:lpstr>'MATERIA PRIMA'!Area_de_impressao</vt:lpstr>
      <vt:lpstr>PROCESSO!Area_de_impressao</vt:lpstr>
      <vt:lpstr>'TRAT. SUPERFICIAL'!Area_de_impressao</vt:lpstr>
      <vt:lpstr>'TRAT. TÉRMICO'!Area_de_impressao</vt:lpstr>
      <vt:lpstr>Prelaunch</vt:lpstr>
      <vt:lpstr>Production</vt:lpstr>
      <vt:lpstr>Prototype</vt:lpstr>
    </vt:vector>
  </TitlesOfParts>
  <Company>Metaltork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OPEY A.</dc:creator>
  <cp:lastModifiedBy>TORK-000953</cp:lastModifiedBy>
  <cp:lastPrinted>2021-10-10T03:49:35Z</cp:lastPrinted>
  <dcterms:created xsi:type="dcterms:W3CDTF">2000-09-14T22:38:10Z</dcterms:created>
  <dcterms:modified xsi:type="dcterms:W3CDTF">2021-10-20T18:13:14Z</dcterms:modified>
</cp:coreProperties>
</file>