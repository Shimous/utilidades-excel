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ORK-000953\Desktop\VBA\CONTROLE DE PROJETOS\"/>
    </mc:Choice>
  </mc:AlternateContent>
  <bookViews>
    <workbookView xWindow="0" yWindow="0" windowWidth="14265" windowHeight="7755" tabRatio="821" firstSheet="44" activeTab="44"/>
  </bookViews>
  <sheets>
    <sheet name="1" sheetId="2" state="hidden" r:id="rId1"/>
    <sheet name="2" sheetId="50" state="hidden" r:id="rId2"/>
    <sheet name="3" sheetId="4" state="hidden" r:id="rId3"/>
    <sheet name="4" sheetId="6" state="hidden" r:id="rId4"/>
    <sheet name="5" sheetId="10" state="hidden" r:id="rId5"/>
    <sheet name="6" sheetId="9" state="hidden" r:id="rId6"/>
    <sheet name="7" sheetId="8" state="hidden" r:id="rId7"/>
    <sheet name="8" sheetId="7" state="hidden" r:id="rId8"/>
    <sheet name="9" sheetId="15" state="hidden" r:id="rId9"/>
    <sheet name="10" sheetId="14" state="hidden" r:id="rId10"/>
    <sheet name="11" sheetId="13" state="hidden" r:id="rId11"/>
    <sheet name="12" sheetId="18" state="hidden" r:id="rId12"/>
    <sheet name="13" sheetId="17" state="hidden" r:id="rId13"/>
    <sheet name="14" sheetId="16" state="hidden" r:id="rId14"/>
    <sheet name="15" sheetId="19" state="hidden" r:id="rId15"/>
    <sheet name="16" sheetId="22" state="hidden" r:id="rId16"/>
    <sheet name="17" sheetId="20" state="hidden" r:id="rId17"/>
    <sheet name="18" sheetId="21" state="hidden" r:id="rId18"/>
    <sheet name="19" sheetId="34" state="hidden" r:id="rId19"/>
    <sheet name="20" sheetId="33" state="hidden" r:id="rId20"/>
    <sheet name="21" sheetId="32" state="hidden" r:id="rId21"/>
    <sheet name="22" sheetId="31" state="hidden" r:id="rId22"/>
    <sheet name="23" sheetId="30" state="hidden" r:id="rId23"/>
    <sheet name="24" sheetId="29" state="hidden" r:id="rId24"/>
    <sheet name="25" sheetId="28" state="hidden" r:id="rId25"/>
    <sheet name="26" sheetId="27" state="hidden" r:id="rId26"/>
    <sheet name="27" sheetId="26" state="hidden" r:id="rId27"/>
    <sheet name="28" sheetId="25" state="hidden" r:id="rId28"/>
    <sheet name="29" sheetId="24" state="hidden" r:id="rId29"/>
    <sheet name="30" sheetId="46" state="hidden" r:id="rId30"/>
    <sheet name="31" sheetId="51" state="hidden" r:id="rId31"/>
    <sheet name="32" sheetId="52" state="hidden" r:id="rId32"/>
    <sheet name="33" sheetId="53" state="hidden" r:id="rId33"/>
    <sheet name="34" sheetId="54" state="hidden" r:id="rId34"/>
    <sheet name="35" sheetId="55" state="hidden" r:id="rId35"/>
    <sheet name="36" sheetId="56" state="hidden" r:id="rId36"/>
    <sheet name="37" sheetId="57" state="hidden" r:id="rId37"/>
    <sheet name="39" sheetId="59" state="hidden" r:id="rId38"/>
    <sheet name="40" sheetId="60" state="hidden" r:id="rId39"/>
    <sheet name="41" sheetId="61" state="hidden" r:id="rId40"/>
    <sheet name="42" sheetId="62" state="hidden" r:id="rId41"/>
    <sheet name="43" sheetId="67" state="hidden" r:id="rId42"/>
    <sheet name="44" sheetId="68" state="hidden" r:id="rId43"/>
    <sheet name="45" sheetId="69" state="hidden" r:id="rId44"/>
    <sheet name="Projetos" sheetId="1" r:id="rId45"/>
    <sheet name="Matriz Basico" sheetId="63" r:id="rId46"/>
    <sheet name="Dashboard" sheetId="3" r:id="rId47"/>
    <sheet name="MODELO" sheetId="12" state="hidden" r:id="rId48"/>
  </sheets>
  <functionGroups builtInGroupCount="18"/>
  <definedNames>
    <definedName name="_xlnm.Print_Area" localSheetId="0">'1'!$A$1:$G$29</definedName>
    <definedName name="_xlnm.Print_Area" localSheetId="9">'10'!$A$1:$H$29</definedName>
    <definedName name="_xlnm.Print_Area" localSheetId="10">'11'!$A$1:$H$29</definedName>
    <definedName name="_xlnm.Print_Area" localSheetId="11">'12'!$A$1:$H$29</definedName>
    <definedName name="_xlnm.Print_Area" localSheetId="12">'13'!$A$1:$H$29</definedName>
    <definedName name="_xlnm.Print_Area" localSheetId="13">'14'!$A$1:$H$29</definedName>
    <definedName name="_xlnm.Print_Area" localSheetId="14">'15'!$A$1:$H$29</definedName>
    <definedName name="_xlnm.Print_Area" localSheetId="15">'16'!$A$1:$H$29</definedName>
    <definedName name="_xlnm.Print_Area" localSheetId="16">'17'!$A$1:$H$29</definedName>
    <definedName name="_xlnm.Print_Area" localSheetId="17">'18'!$A$1:$H$29</definedName>
    <definedName name="_xlnm.Print_Area" localSheetId="18">'19'!$A$1:$H$29</definedName>
    <definedName name="_xlnm.Print_Area" localSheetId="1">'2'!$A$1:$H$29</definedName>
    <definedName name="_xlnm.Print_Area" localSheetId="19">'20'!$A$1:$H$29</definedName>
    <definedName name="_xlnm.Print_Area" localSheetId="20">'21'!$A$1:$H$29</definedName>
    <definedName name="_xlnm.Print_Area" localSheetId="21">'22'!$A$1:$H$29</definedName>
    <definedName name="_xlnm.Print_Area" localSheetId="22">'23'!$A$1:$H$29</definedName>
    <definedName name="_xlnm.Print_Area" localSheetId="23">'24'!$A$1:$H$29</definedName>
    <definedName name="_xlnm.Print_Area" localSheetId="24">'25'!$A$1:$H$29</definedName>
    <definedName name="_xlnm.Print_Area" localSheetId="25">'26'!$A$1:$H$29</definedName>
    <definedName name="_xlnm.Print_Area" localSheetId="26">'27'!$A$1:$H$29</definedName>
    <definedName name="_xlnm.Print_Area" localSheetId="27">'28'!$A$1:$H$29</definedName>
    <definedName name="_xlnm.Print_Area" localSheetId="28">'29'!$A$1:$H$29</definedName>
    <definedName name="_xlnm.Print_Area" localSheetId="2">'3'!$A$1:$H$29</definedName>
    <definedName name="_xlnm.Print_Area" localSheetId="29">'30'!$A$1:$H$29</definedName>
    <definedName name="_xlnm.Print_Area" localSheetId="30">'31'!$A$1:$H$29</definedName>
    <definedName name="_xlnm.Print_Area" localSheetId="31">'32'!$A$1:$H$29</definedName>
    <definedName name="_xlnm.Print_Area" localSheetId="32">'33'!$A$1:$H$29</definedName>
    <definedName name="_xlnm.Print_Area" localSheetId="33">'34'!$A$1:$H$29</definedName>
    <definedName name="_xlnm.Print_Area" localSheetId="34">'35'!$A$1:$H$29</definedName>
    <definedName name="_xlnm.Print_Area" localSheetId="35">'36'!$A$1:$H$29</definedName>
    <definedName name="_xlnm.Print_Area" localSheetId="36">'37'!$A$1:$H$29</definedName>
    <definedName name="_xlnm.Print_Area" localSheetId="37">'39'!$A$1:$H$29</definedName>
    <definedName name="_xlnm.Print_Area" localSheetId="3">'4'!$A$1:$H$29</definedName>
    <definedName name="_xlnm.Print_Area" localSheetId="38">'40'!$A$1:$H$29</definedName>
    <definedName name="_xlnm.Print_Area" localSheetId="39">'41'!$A$1:$H$29</definedName>
    <definedName name="_xlnm.Print_Area" localSheetId="40">'42'!$A$1:$H$29</definedName>
    <definedName name="_xlnm.Print_Area" localSheetId="41">'43'!$A$1:$H$29</definedName>
    <definedName name="_xlnm.Print_Area" localSheetId="42">'44'!$A$1:$H$29</definedName>
    <definedName name="_xlnm.Print_Area" localSheetId="43">'45'!$A$1:$H$29</definedName>
    <definedName name="_xlnm.Print_Area" localSheetId="4">'5'!$A$1:$H$29</definedName>
    <definedName name="_xlnm.Print_Area" localSheetId="5">'6'!$A$1:$H$29</definedName>
    <definedName name="_xlnm.Print_Area" localSheetId="6">'7'!$A$1:$H$29</definedName>
    <definedName name="_xlnm.Print_Area" localSheetId="7">'8'!$A$1:$H$29</definedName>
    <definedName name="_xlnm.Print_Area" localSheetId="8">'9'!$A$1:$H$29</definedName>
    <definedName name="_xlnm.Print_Area" localSheetId="47">MODELO!$A$1:$H$29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6" i="69" l="1"/>
  <c r="H2" i="69"/>
  <c r="G2" i="69"/>
  <c r="F2" i="69"/>
  <c r="E2" i="69"/>
  <c r="D2" i="69"/>
  <c r="B2" i="69"/>
  <c r="A2" i="69"/>
  <c r="H2" i="68"/>
  <c r="F2" i="68"/>
  <c r="D2" i="68"/>
  <c r="H2" i="50"/>
  <c r="H2" i="4"/>
  <c r="H2" i="6"/>
  <c r="H2" i="10"/>
  <c r="H2" i="9"/>
  <c r="H2" i="8"/>
  <c r="H2" i="7"/>
  <c r="H2" i="15"/>
  <c r="H2" i="14"/>
  <c r="H2" i="13"/>
  <c r="H2" i="18"/>
  <c r="H2" i="17"/>
  <c r="H2" i="16"/>
  <c r="H2" i="19"/>
  <c r="H2" i="22"/>
  <c r="H2" i="20"/>
  <c r="H2" i="21"/>
  <c r="H2" i="34"/>
  <c r="H2" i="33"/>
  <c r="H2" i="32"/>
  <c r="H2" i="31"/>
  <c r="H2" i="30"/>
  <c r="H2" i="29"/>
  <c r="H2" i="28"/>
  <c r="H2" i="27"/>
  <c r="H2" i="26"/>
  <c r="H2" i="25"/>
  <c r="H2" i="24"/>
  <c r="H2" i="46"/>
  <c r="H2" i="52"/>
  <c r="H2" i="53"/>
  <c r="H2" i="54"/>
  <c r="H2" i="55"/>
  <c r="H2" i="56"/>
  <c r="H2" i="57"/>
  <c r="H2" i="59"/>
  <c r="H2" i="60"/>
  <c r="H2" i="61"/>
  <c r="H2" i="62"/>
  <c r="H2" i="67"/>
  <c r="H2" i="51"/>
  <c r="F2" i="67"/>
  <c r="D2" i="67"/>
  <c r="D2" i="51"/>
  <c r="H2" i="12"/>
  <c r="F2" i="62"/>
  <c r="D2" i="62"/>
  <c r="F2" i="61"/>
  <c r="D2" i="61"/>
  <c r="F2" i="60"/>
  <c r="D2" i="60"/>
  <c r="F2" i="59"/>
  <c r="D2" i="59"/>
  <c r="F2" i="57"/>
  <c r="D2" i="57"/>
  <c r="F2" i="56"/>
  <c r="D2" i="56"/>
  <c r="F2" i="55"/>
  <c r="D2" i="55"/>
  <c r="F2" i="54"/>
  <c r="D2" i="54"/>
  <c r="F2" i="53"/>
  <c r="D2" i="53"/>
  <c r="F2" i="52"/>
  <c r="D2" i="52"/>
  <c r="F2" i="51"/>
  <c r="F2" i="50"/>
  <c r="D2" i="50"/>
  <c r="F2" i="46"/>
  <c r="D2" i="46"/>
  <c r="F2" i="12"/>
  <c r="D2" i="12"/>
  <c r="E2" i="2"/>
  <c r="F2" i="4"/>
  <c r="F2" i="6"/>
  <c r="F2" i="10"/>
  <c r="F2" i="9"/>
  <c r="F2" i="8"/>
  <c r="F2" i="7"/>
  <c r="F2" i="15"/>
  <c r="F2" i="14"/>
  <c r="F2" i="13"/>
  <c r="F2" i="18"/>
  <c r="F2" i="17"/>
  <c r="F2" i="16"/>
  <c r="F2" i="19"/>
  <c r="F2" i="22"/>
  <c r="F2" i="20"/>
  <c r="F2" i="21"/>
  <c r="F2" i="34"/>
  <c r="F2" i="33"/>
  <c r="F2" i="32"/>
  <c r="F2" i="31"/>
  <c r="F2" i="30"/>
  <c r="F2" i="29"/>
  <c r="F2" i="28"/>
  <c r="F2" i="27"/>
  <c r="F2" i="26"/>
  <c r="F2" i="25"/>
  <c r="F2" i="24"/>
  <c r="C2" i="2"/>
  <c r="D2" i="4"/>
  <c r="D2" i="6"/>
  <c r="D2" i="10"/>
  <c r="D2" i="9"/>
  <c r="D2" i="8"/>
  <c r="D2" i="7"/>
  <c r="D2" i="15"/>
  <c r="D2" i="14"/>
  <c r="D2" i="13"/>
  <c r="D2" i="18"/>
  <c r="D2" i="17"/>
  <c r="D2" i="16"/>
  <c r="D2" i="19"/>
  <c r="D2" i="22"/>
  <c r="D2" i="20"/>
  <c r="D2" i="21"/>
  <c r="D2" i="34"/>
  <c r="D2" i="33"/>
  <c r="D2" i="32"/>
  <c r="D2" i="31"/>
  <c r="D2" i="30"/>
  <c r="D2" i="29"/>
  <c r="D2" i="28"/>
  <c r="D2" i="27"/>
  <c r="D2" i="26"/>
  <c r="D2" i="25"/>
  <c r="D2" i="24"/>
  <c r="R54" i="1"/>
  <c r="C26" i="68" l="1"/>
  <c r="G2" i="68"/>
  <c r="E2" i="68"/>
  <c r="B2" i="68"/>
  <c r="A2" i="68"/>
  <c r="R53" i="1"/>
  <c r="G2" i="50" l="1"/>
  <c r="G2" i="4"/>
  <c r="G2" i="6"/>
  <c r="G2" i="10"/>
  <c r="G2" i="9"/>
  <c r="G2" i="8"/>
  <c r="G2" i="7"/>
  <c r="G2" i="15"/>
  <c r="G2" i="14"/>
  <c r="G2" i="13"/>
  <c r="G2" i="18"/>
  <c r="G2" i="17"/>
  <c r="G2" i="16"/>
  <c r="G2" i="19"/>
  <c r="G2" i="22"/>
  <c r="G2" i="20"/>
  <c r="G2" i="21"/>
  <c r="G2" i="34"/>
  <c r="G2" i="33"/>
  <c r="G2" i="32"/>
  <c r="G2" i="31"/>
  <c r="G2" i="30"/>
  <c r="G2" i="29"/>
  <c r="G2" i="28"/>
  <c r="G2" i="27"/>
  <c r="G2" i="26"/>
  <c r="G2" i="25"/>
  <c r="G2" i="24"/>
  <c r="G2" i="46"/>
  <c r="G2" i="52"/>
  <c r="G2" i="53"/>
  <c r="G2" i="54"/>
  <c r="G2" i="55"/>
  <c r="G2" i="56"/>
  <c r="G2" i="57"/>
  <c r="G2" i="59"/>
  <c r="G2" i="60"/>
  <c r="G2" i="61"/>
  <c r="G2" i="62"/>
  <c r="G2" i="67"/>
  <c r="G2" i="51"/>
  <c r="E2" i="50"/>
  <c r="E2" i="4"/>
  <c r="E2" i="6"/>
  <c r="E2" i="10"/>
  <c r="E2" i="9"/>
  <c r="E2" i="8"/>
  <c r="E2" i="7"/>
  <c r="E2" i="15"/>
  <c r="E2" i="14"/>
  <c r="E2" i="13"/>
  <c r="E2" i="18"/>
  <c r="E2" i="17"/>
  <c r="E2" i="16"/>
  <c r="E2" i="19"/>
  <c r="E2" i="22"/>
  <c r="E2" i="20"/>
  <c r="E2" i="21"/>
  <c r="E2" i="34"/>
  <c r="E2" i="33"/>
  <c r="E2" i="32"/>
  <c r="E2" i="31"/>
  <c r="E2" i="30"/>
  <c r="E2" i="29"/>
  <c r="E2" i="28"/>
  <c r="E2" i="27"/>
  <c r="E2" i="26"/>
  <c r="E2" i="25"/>
  <c r="E2" i="24"/>
  <c r="E2" i="46"/>
  <c r="E2" i="52"/>
  <c r="E2" i="53"/>
  <c r="E2" i="54"/>
  <c r="E2" i="55"/>
  <c r="E2" i="56"/>
  <c r="E2" i="57"/>
  <c r="E2" i="59"/>
  <c r="E2" i="60"/>
  <c r="E2" i="61"/>
  <c r="E2" i="62"/>
  <c r="E2" i="67"/>
  <c r="E2" i="51"/>
  <c r="G2" i="12"/>
  <c r="E2" i="12"/>
  <c r="B2" i="67"/>
  <c r="C26" i="67"/>
  <c r="A2" i="67"/>
  <c r="R52" i="1"/>
  <c r="R47" i="1"/>
  <c r="R19" i="1"/>
  <c r="C26" i="12"/>
  <c r="C26" i="50"/>
  <c r="C26" i="4"/>
  <c r="C26" i="9"/>
  <c r="C26" i="8"/>
  <c r="C26" i="14"/>
  <c r="C26" i="13"/>
  <c r="C26" i="16"/>
  <c r="C26" i="19"/>
  <c r="C26" i="21"/>
  <c r="C26" i="34"/>
  <c r="C26" i="31"/>
  <c r="C26" i="30"/>
  <c r="C26" i="27"/>
  <c r="C26" i="26"/>
  <c r="C26" i="46"/>
  <c r="C26" i="51"/>
  <c r="C26" i="6"/>
  <c r="C26" i="10"/>
  <c r="C26" i="7"/>
  <c r="C26" i="15"/>
  <c r="C26" i="18"/>
  <c r="C26" i="17"/>
  <c r="C26" i="22"/>
  <c r="C26" i="20"/>
  <c r="C26" i="33"/>
  <c r="C26" i="32"/>
  <c r="C26" i="29"/>
  <c r="C26" i="28"/>
  <c r="C26" i="25"/>
  <c r="C26" i="24"/>
  <c r="C26" i="52"/>
  <c r="C26" i="53"/>
  <c r="C26" i="54"/>
  <c r="C26" i="55"/>
  <c r="C26" i="56"/>
  <c r="C26" i="57"/>
  <c r="C26" i="59"/>
  <c r="C26" i="60"/>
  <c r="C26" i="61"/>
  <c r="C26" i="62"/>
  <c r="B2" i="51"/>
  <c r="B2" i="62"/>
  <c r="B2" i="61"/>
  <c r="B2" i="60"/>
  <c r="B2" i="59"/>
  <c r="B2" i="57"/>
  <c r="B2" i="56"/>
  <c r="B2" i="55"/>
  <c r="B2" i="54"/>
  <c r="B2" i="53"/>
  <c r="B2" i="52"/>
  <c r="B2" i="50"/>
  <c r="B2" i="46"/>
  <c r="B2" i="24"/>
  <c r="B2" i="25"/>
  <c r="B2" i="26"/>
  <c r="B2" i="27"/>
  <c r="B2" i="28"/>
  <c r="B2" i="29"/>
  <c r="B2" i="30"/>
  <c r="B2" i="31"/>
  <c r="B2" i="32"/>
  <c r="B2" i="33"/>
  <c r="B2" i="34"/>
  <c r="B2" i="21"/>
  <c r="B2" i="20"/>
  <c r="B2" i="22"/>
  <c r="B2" i="19"/>
  <c r="B2" i="16"/>
  <c r="B2" i="17"/>
  <c r="B2" i="18"/>
  <c r="B2" i="13"/>
  <c r="B2" i="14"/>
  <c r="B2" i="15"/>
  <c r="B2" i="7"/>
  <c r="B2" i="8"/>
  <c r="B2" i="9"/>
  <c r="B2" i="10"/>
  <c r="B2" i="6"/>
  <c r="B2" i="4"/>
  <c r="R10" i="1" l="1"/>
  <c r="R11" i="1"/>
  <c r="R12" i="1"/>
  <c r="R13" i="1"/>
  <c r="R14" i="1"/>
  <c r="R15" i="1"/>
  <c r="R16" i="1"/>
  <c r="R17" i="1"/>
  <c r="R18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8" i="1"/>
  <c r="R49" i="1"/>
  <c r="R50" i="1"/>
  <c r="R51" i="1"/>
  <c r="A2" i="62" l="1"/>
  <c r="A2" i="61"/>
  <c r="A2" i="60"/>
  <c r="A2" i="59"/>
  <c r="A2" i="57"/>
  <c r="A2" i="56"/>
  <c r="A2" i="55"/>
  <c r="A2" i="54"/>
  <c r="A2" i="53"/>
  <c r="A2" i="52"/>
  <c r="A2" i="51" l="1"/>
  <c r="A2" i="50" l="1"/>
  <c r="A2" i="46" l="1"/>
  <c r="B2" i="12"/>
  <c r="A2" i="12"/>
  <c r="D2" i="2" l="1"/>
  <c r="B2" i="2"/>
  <c r="A2" i="34" l="1"/>
  <c r="A2" i="33"/>
  <c r="A2" i="32"/>
  <c r="A2" i="31"/>
  <c r="A2" i="30"/>
  <c r="A2" i="29"/>
  <c r="A2" i="28"/>
  <c r="A2" i="27"/>
  <c r="A2" i="26"/>
  <c r="A2" i="25"/>
  <c r="A2" i="24"/>
  <c r="A2" i="22"/>
  <c r="A2" i="21"/>
  <c r="A2" i="20"/>
  <c r="A2" i="19"/>
  <c r="A2" i="18"/>
  <c r="A2" i="17"/>
  <c r="A2" i="16" l="1"/>
  <c r="A2" i="2"/>
  <c r="A2" i="4"/>
  <c r="A2" i="6"/>
  <c r="A2" i="10"/>
  <c r="A2" i="9"/>
  <c r="A2" i="8"/>
  <c r="A2" i="7"/>
  <c r="A2" i="15"/>
  <c r="A2" i="14"/>
  <c r="A2" i="13"/>
  <c r="B4" i="3" l="1"/>
  <c r="B3" i="3"/>
  <c r="B2" i="3"/>
  <c r="B5" i="3" l="1"/>
</calcChain>
</file>

<file path=xl/sharedStrings.xml><?xml version="1.0" encoding="utf-8"?>
<sst xmlns="http://schemas.openxmlformats.org/spreadsheetml/2006/main" count="950" uniqueCount="214">
  <si>
    <t>Prioridade</t>
  </si>
  <si>
    <t xml:space="preserve">Resposnável </t>
  </si>
  <si>
    <t xml:space="preserve">Equipe </t>
  </si>
  <si>
    <t>Ações necessarias /Priorização</t>
  </si>
  <si>
    <t>Gross/Jeferson</t>
  </si>
  <si>
    <t>Tatamento Termico/Segurança</t>
  </si>
  <si>
    <t>Retrofiting eletronico/CLP</t>
  </si>
  <si>
    <t>Sistema mecanico</t>
  </si>
  <si>
    <t>Compras / Produção / Alex</t>
  </si>
  <si>
    <t>Plano de ação</t>
  </si>
  <si>
    <t xml:space="preserve">Segurança / compras / Meio Ambiente / RH / Produção </t>
  </si>
  <si>
    <t>Local da sucata</t>
  </si>
  <si>
    <t>Gross/Mario</t>
  </si>
  <si>
    <t>Ratirada de Pit Stop</t>
  </si>
  <si>
    <t>Marcelo/Torres</t>
  </si>
  <si>
    <t>Instalação GN cozinha</t>
  </si>
  <si>
    <t>Definição do portão</t>
  </si>
  <si>
    <t xml:space="preserve">Local para GLP-Estoque </t>
  </si>
  <si>
    <t>Gross/Leandro</t>
  </si>
  <si>
    <t>Local para extintores de incendicio</t>
  </si>
  <si>
    <t xml:space="preserve">Área de manutenção de empilhadeira </t>
  </si>
  <si>
    <t>Gross/Carlos</t>
  </si>
  <si>
    <t>Produção /segurança</t>
  </si>
  <si>
    <t>Gross / Mario</t>
  </si>
  <si>
    <t xml:space="preserve">RH / Meio ambiente </t>
  </si>
  <si>
    <t>Definição de local</t>
  </si>
  <si>
    <t>Departamento envolvidos</t>
  </si>
  <si>
    <t>Definir prioridades</t>
  </si>
  <si>
    <t xml:space="preserve">Gerencia / produção </t>
  </si>
  <si>
    <t>Instalção de bancada de aperto</t>
  </si>
  <si>
    <t>Wanilto</t>
  </si>
  <si>
    <t>Preparação corpo de prova</t>
  </si>
  <si>
    <t>Construçao de divisoria e area de recebimento PROJETOR DE PREFIL</t>
  </si>
  <si>
    <t xml:space="preserve">Segurança / Compras </t>
  </si>
  <si>
    <t>especificação dos Materiais -tubos e conexões</t>
  </si>
  <si>
    <t>Eng. de Produto / Qualidade / Laboratório</t>
  </si>
  <si>
    <t xml:space="preserve">Escolha </t>
  </si>
  <si>
    <t>Acerto do Lay out</t>
  </si>
  <si>
    <t>Definição da Automação da Carga e descarga</t>
  </si>
  <si>
    <t>Gross/Antonio</t>
  </si>
  <si>
    <t xml:space="preserve">Eng. Industrial </t>
  </si>
  <si>
    <t xml:space="preserve">Fechamento da Ferramentaria </t>
  </si>
  <si>
    <t>Torres/Marcelo</t>
  </si>
  <si>
    <t>Manutenção civil terceiros</t>
  </si>
  <si>
    <t>Aprovação do lay-out e redução da sala de reunião Automotiva</t>
  </si>
  <si>
    <t>ALMOXARIFADO CENTRAL</t>
  </si>
  <si>
    <t>Gross/Carlos/Torres</t>
  </si>
  <si>
    <t>Gross/torres /Carol</t>
  </si>
  <si>
    <t>INSTALAÇÃO DA NOVA LINHA FORJARIA</t>
  </si>
  <si>
    <t>ABERTURA DE NOVA PASSAGEM PARA O GALPÃO</t>
  </si>
  <si>
    <t>Construção de comporta contra enchentes</t>
  </si>
  <si>
    <t xml:space="preserve">RECEBIMENTO </t>
  </si>
  <si>
    <t>Alteração do lay-out do recebimento solicitado pelo Sr. Luiz Vieira.</t>
  </si>
  <si>
    <t>Gross</t>
  </si>
  <si>
    <t>MUDANÇA E NOVA INSTALAÇÃO</t>
  </si>
  <si>
    <t>Torres</t>
  </si>
  <si>
    <t>LAMINADORAS</t>
  </si>
  <si>
    <t>DEFINIR NOVO POSICIONAMENTO.</t>
  </si>
  <si>
    <t>Definir lay-ou provisorio.</t>
  </si>
  <si>
    <t>Instalação do Skimmer- trocador de calor - recuperação de óleo</t>
  </si>
  <si>
    <t>PCFACTOR</t>
  </si>
  <si>
    <t>Definir plano e responsabilidade- Instalação da infra extrutura e pendencias tecnicas</t>
  </si>
  <si>
    <t>Torres/Fagan</t>
  </si>
  <si>
    <t>Vagner/Jefferson</t>
  </si>
  <si>
    <t>Disponibilizar área para laminação com todas a laminadoras em uma só área</t>
  </si>
  <si>
    <t>LINHA DE AR COMPRIMIDO</t>
  </si>
  <si>
    <t>Vagner e Gross</t>
  </si>
  <si>
    <t>Localização dos pontos vuneraveis com necessidade de ações</t>
  </si>
  <si>
    <t>RH-Portaria</t>
  </si>
  <si>
    <t>Garagem da Diretoria</t>
  </si>
  <si>
    <t>Banheiro do Mezanino</t>
  </si>
  <si>
    <t>Instalação de bomba na caixa da balança</t>
  </si>
  <si>
    <t>Definir tubulação e local de descarga</t>
  </si>
  <si>
    <t>Viabilidade de estar lagada na  rede do Gerador</t>
  </si>
  <si>
    <t>Definir vazão necessaria</t>
  </si>
  <si>
    <t>Precisa de uma serralheiro</t>
  </si>
  <si>
    <t>SIM</t>
  </si>
  <si>
    <t>NÃO</t>
  </si>
  <si>
    <t>?</t>
  </si>
  <si>
    <t>VESTARIO E BANHEIRO FEMININO</t>
  </si>
  <si>
    <t>Necessidade Serralheiro</t>
  </si>
  <si>
    <t>total</t>
  </si>
  <si>
    <t>Sim</t>
  </si>
  <si>
    <t>Não</t>
  </si>
  <si>
    <t>Indefinido</t>
  </si>
  <si>
    <t>Atividades:</t>
  </si>
  <si>
    <t>Prioridades</t>
  </si>
  <si>
    <t>Responsável</t>
  </si>
  <si>
    <t>Início</t>
  </si>
  <si>
    <t>Início planejado</t>
  </si>
  <si>
    <t>Término planejado</t>
  </si>
  <si>
    <t>Término</t>
  </si>
  <si>
    <t>Título do projeto</t>
  </si>
  <si>
    <t>-</t>
  </si>
  <si>
    <t>Redefinição da capatação de borra/alteração dos skimmer's</t>
  </si>
  <si>
    <t>Status</t>
  </si>
  <si>
    <t>ID</t>
  </si>
  <si>
    <t>Observações:</t>
  </si>
  <si>
    <t>TANQUE DE REFRIGERAÇÃO DO ÓLEO SOLUVEL- NATIONAL</t>
  </si>
  <si>
    <t xml:space="preserve">Responsável </t>
  </si>
  <si>
    <t>Projeto e instalação do anel de distribuição de ar para toda fabrica</t>
  </si>
  <si>
    <t>ASD</t>
  </si>
  <si>
    <t>LINHA DE FIBRA OTICA TI</t>
  </si>
  <si>
    <t>TORRES/FAGAN</t>
  </si>
  <si>
    <t>APROVAÇÃO DOS CUSTOS</t>
  </si>
  <si>
    <t>Em andamento</t>
  </si>
  <si>
    <t>Suspenso</t>
  </si>
  <si>
    <t>Finalizado</t>
  </si>
  <si>
    <t>Cancelado</t>
  </si>
  <si>
    <t>Produção / Manutenção</t>
  </si>
  <si>
    <t>Gross / Wagner</t>
  </si>
  <si>
    <t>Progresso</t>
  </si>
  <si>
    <t>Beneficio para organização</t>
  </si>
  <si>
    <t>Eng. Industrial</t>
  </si>
  <si>
    <t>MAQUINAS DE LAVAR FORNOS</t>
  </si>
  <si>
    <t xml:space="preserve">SAKAMURA LAMINADORA </t>
  </si>
  <si>
    <t>PATIO</t>
  </si>
  <si>
    <t>ÁREA DE ESTOCAGEM DE MATERIAIS TREFILADOS</t>
  </si>
  <si>
    <t xml:space="preserve">LIXO RECICLAVEL </t>
  </si>
  <si>
    <t>AÇÕES DE MELHORIA -INOVA TORK</t>
  </si>
  <si>
    <t xml:space="preserve">MUDANÇA SALA MAGNA TESTE / LABORATÓRIO VELHO </t>
  </si>
  <si>
    <t>CASA DAS BOMBAS LINHA DE INCÊNDIO</t>
  </si>
  <si>
    <t>SUPERVISÓRIO FORNOS - WANILTO</t>
  </si>
  <si>
    <t>ALIMENTAÇÃO DE ÁGUA POTAVÉL NA FÁBRICA</t>
  </si>
  <si>
    <t>SUPERVISÓRIO FORJARIA</t>
  </si>
  <si>
    <t>PROJETO MÁQUINAS DE ESCOLHA</t>
  </si>
  <si>
    <t xml:space="preserve">DIVISÓRIA E MEZANINO DA FERRAMENTARIA </t>
  </si>
  <si>
    <t>ELIMINAR TORRE DE RESFRIAMENTO (ÁREA DE LAMINAÇÃO)</t>
  </si>
  <si>
    <t>FORJARIA AQUECIMENTO POR BOBINA</t>
  </si>
  <si>
    <t>BREJAUVA 266 (OFICINA ESQUINA RUA TUCUM / BREJAUVA)</t>
  </si>
  <si>
    <t>ÁREA DA LIMPEZA E LAB. FORNO</t>
  </si>
  <si>
    <t>LABORATORIO FÍSICO</t>
  </si>
  <si>
    <t>Abrangencia dos resultados</t>
  </si>
  <si>
    <t>MANUTENÇÃO TRATAMENTO TERMICO</t>
  </si>
  <si>
    <t>INFRA ELÉTRICA HOT FORMER</t>
  </si>
  <si>
    <t>Eng. Industrial / Manutenção</t>
  </si>
  <si>
    <t>HOT FORMER</t>
  </si>
  <si>
    <t>NOVO LAYOUT</t>
  </si>
  <si>
    <t>REFORMA FORNO REX</t>
  </si>
  <si>
    <t>RETROFITING PRENSA SAKAMURA</t>
  </si>
  <si>
    <t>TELHADO DA FÁBRICA</t>
  </si>
  <si>
    <t>Eng. Industral</t>
  </si>
  <si>
    <t>INSTALAÇÃO DAS TREFILAS</t>
  </si>
  <si>
    <t>PROJETO DE PREVENSÃO DE ENCHENTE</t>
  </si>
  <si>
    <t>REFORMA SALA DA MANUTENÇÃO</t>
  </si>
  <si>
    <t>Gross/Artur/Vagner</t>
  </si>
  <si>
    <t xml:space="preserve">ESGOTOS-ACERTO PARA DESCARTE APRORIADO </t>
  </si>
  <si>
    <t>PRENSA CHUN ZU 204 VELHA 0210-TRANSFER</t>
  </si>
  <si>
    <t>RUA TUCUM 43-COBERTURA</t>
  </si>
  <si>
    <t>LAYOUT EXPEDIÇÃO E QUALIDADE -GALPÃO</t>
  </si>
  <si>
    <t>gross</t>
  </si>
  <si>
    <t>Layout da disposição</t>
  </si>
  <si>
    <t>Prazo de finalização</t>
  </si>
  <si>
    <t>Levantamento das necessidades</t>
  </si>
  <si>
    <t>Data finalização</t>
  </si>
  <si>
    <t>Satisfação interna dos funcionários</t>
  </si>
  <si>
    <t>Investimento necessário</t>
  </si>
  <si>
    <t>Cliente externo: grau de impacto</t>
  </si>
  <si>
    <t>Operacionalização: grau de facilidade</t>
  </si>
  <si>
    <t>Matriz básico</t>
  </si>
  <si>
    <t>Tipo de característica</t>
  </si>
  <si>
    <t>nota 5: traz um resultado que impacta de 70% a 100% da empresa;</t>
  </si>
  <si>
    <t>nota 4: abrange de 40% a 70% da organização;</t>
  </si>
  <si>
    <t>nota 3: abrange razoavelmente, de 20% a 40% da empresa;</t>
  </si>
  <si>
    <t>nota 2: possibilita uma pequena abrangência, de 5% a 20% da empresa;</t>
  </si>
  <si>
    <t>Abrangência dos resultados</t>
  </si>
  <si>
    <t>nota 1: o benefício traz pouco impacto, embora contribua de alguma maneira para a empresa.</t>
  </si>
  <si>
    <t>Nota</t>
  </si>
  <si>
    <t>nota 5: grau de satisfação bastante acentuado;</t>
  </si>
  <si>
    <t>nota 3: a satisfação que pode ser notada é média e é observada pelos colegas do trabalho;</t>
  </si>
  <si>
    <t>nota 2: já aqui, a satisfação que pode ser notada é média, mas ela não é notada pelos colegas do trabalho;</t>
  </si>
  <si>
    <t>nota 1: o grau de satisfação é pequeno, mas de alguma forma pode contribuir para a empresa se desenvolver.</t>
  </si>
  <si>
    <t>nota 4: satisfação relevante, e é capaz de fazer com que haja demonstração de reconhecimento no dia a dia do trabalho;</t>
  </si>
  <si>
    <t>Satisfação do funcionário</t>
  </si>
  <si>
    <t>nota 5: existe um gasto mínimo e a empresa já tem a maior parte dos recursos ou então ela pode consegui-los de forma fácil;</t>
  </si>
  <si>
    <t>nota 4: existem alguns custos dentro do orçamento da área e também há a necessidade de utilizar alguns recursos próprios;</t>
  </si>
  <si>
    <t>nota 3: os gastos são feitos além do orçamento da área, mas ainda assim dentro do orçamento da organização;</t>
  </si>
  <si>
    <t>nota 1: os gastos são muito além dos orçamentos previstos e existe a necessidade de realizar um novo planejamento estratégico.</t>
  </si>
  <si>
    <t>nota 2: tem de haver a necessidade de aprovar recursos da diretoria, pois é preciso remanejar verbas;</t>
  </si>
  <si>
    <t>nota 5: nesse caso, existe um impacto muito relevante na imagem da empresa juntos aos seus clientes;</t>
  </si>
  <si>
    <t>nota 4: aqui, há grandes e diretos reflexos nos processos de apoio;</t>
  </si>
  <si>
    <t>nota 1: não há nenhum tipo de reflexo na imagem da organização com o cliente.</t>
  </si>
  <si>
    <t>nota 3: compreende bons reflexos nos processos de apoio;</t>
  </si>
  <si>
    <t>nota 2: há pouco impacto em relação aos processos finais com os consumidores;</t>
  </si>
  <si>
    <t>nota 5: a empresa conta com muitas facilidades para os desenvolvimentos de operações, uma vez que a tecnologia já é utilizada;</t>
  </si>
  <si>
    <t>nota 4: existe facilidade para desenvolver a operação e pode ser que haja a necessidade do auxílio de terceiros, mas que estão disponíveis no mercado;</t>
  </si>
  <si>
    <t>nota 3: há uma facilidade média e nesse caso depende do conhecimento de tecnologia e também da disponibilidade do mercado em ofertar os recursos que são necessários;</t>
  </si>
  <si>
    <t>nota 2: pouca facilidade em realizar as operações, dependendo de inúmeras mudanças na cultura da empresa;</t>
  </si>
  <si>
    <t>nota 1: aqui, as operações são mais difíceis de serem realizadas, pois há excesso em relação aos limites de autoridade da organização.</t>
  </si>
  <si>
    <t>Índice básico</t>
  </si>
  <si>
    <t>Custos</t>
  </si>
  <si>
    <t>Benefícios para a organização</t>
  </si>
  <si>
    <t>nota 5: de extrema importante para os negócios da organização ou até mesmo é essencial para a sobrevivência da empresa</t>
  </si>
  <si>
    <t>nota 4: os benefícios são muito relevantes e podem gerar inovação tecnológica e lucros para o negócio</t>
  </si>
  <si>
    <t>nota 3: representa um impacto razoável em relação ao desempenho das mudanças que foram efetivadas</t>
  </si>
  <si>
    <t>nota 2: traz algum benefício operacional, que pode ser considerado e quantificado</t>
  </si>
  <si>
    <t>nota 1: o benefício traz pouco impacto, embora contribua de alguma maneira para a empresa</t>
  </si>
  <si>
    <t>Demolição</t>
  </si>
  <si>
    <t>Orçamento da Schuster</t>
  </si>
  <si>
    <t>Orçamento do Valter Crema -Parafusos CE</t>
  </si>
  <si>
    <t>Prçamento da Chun Zu</t>
  </si>
  <si>
    <t>orçamento W. Miranda</t>
  </si>
  <si>
    <t>orçamento DM serralheria</t>
  </si>
  <si>
    <t xml:space="preserve">orçamento </t>
  </si>
  <si>
    <t>Desenho dos moveis envolvidos -Levantamento</t>
  </si>
  <si>
    <t>Custo estimado</t>
  </si>
  <si>
    <t>Pintura - executada internamente</t>
  </si>
  <si>
    <t>Total:</t>
  </si>
  <si>
    <t>Projeto</t>
  </si>
  <si>
    <t>TANQUE PARA TRATAMENTO DE ÁGUA DESMINERALIZADA</t>
  </si>
  <si>
    <t>EXAUSTÃO ELETROEROSÃO FERRAMENTARIA</t>
  </si>
  <si>
    <t>Gross/Charles/Torres</t>
  </si>
  <si>
    <t>Gross/Valdomiro/Bete</t>
  </si>
  <si>
    <t>ESTOQUE E MOVIMENTAÇÃO DE BARRAS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</si>
</sst>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3" x14ac:knownFonts="1">
    <font>
      <sz val="11"/>
      <color theme="1"/>
      <name val="Calibri"/>
      <family val="2"/>
      <scheme val="minor"/>
    </font>
    <font>
      <b/>
      <i/>
      <sz val="10"/>
      <color theme="1"/>
      <name val="Verdana"/>
      <family val="2"/>
    </font>
    <font>
      <sz val="10"/>
      <color theme="1"/>
      <name val="Calibri"/>
      <family val="2"/>
      <scheme val="minor"/>
    </font>
    <font>
      <i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1"/>
      <color theme="1"/>
      <name val="Verdana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theme="1"/>
      <name val="Calibri"/>
      <scheme val="minor"/>
    </font>
    <font>
      <sz val="1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b/>
      <i/>
      <sz val="10"/>
      <color indexed="8"/>
      <name val="Verdana"/>
      <family val="2"/>
    </font>
    <font>
      <b/>
      <sz val="10"/>
      <color indexed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70C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19" fillId="0" borderId="0" applyFont="0" applyFill="0" applyBorder="0" applyAlignment="0" applyProtection="0"/>
  </cellStyleXfs>
  <cellXfs count="151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7" xfId="0" applyFont="1" applyFill="1" applyBorder="1"/>
    <xf numFmtId="0" fontId="3" fillId="2" borderId="1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2" fillId="2" borderId="9" xfId="0" applyFont="1" applyFill="1" applyBorder="1"/>
    <xf numFmtId="0" fontId="2" fillId="2" borderId="13" xfId="0" applyFont="1" applyFill="1" applyBorder="1"/>
    <xf numFmtId="0" fontId="0" fillId="2" borderId="8" xfId="0" applyFont="1" applyFill="1" applyBorder="1"/>
    <xf numFmtId="0" fontId="3" fillId="0" borderId="17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left" vertical="center" wrapText="1"/>
    </xf>
    <xf numFmtId="0" fontId="2" fillId="0" borderId="17" xfId="0" applyFont="1" applyBorder="1" applyAlignment="1">
      <alignment horizontal="center" vertical="center" wrapText="1"/>
    </xf>
    <xf numFmtId="0" fontId="7" fillId="2" borderId="0" xfId="0" applyFont="1" applyFill="1"/>
    <xf numFmtId="0" fontId="8" fillId="2" borderId="0" xfId="0" applyFont="1" applyFill="1" applyAlignment="1">
      <alignment horizontal="center"/>
    </xf>
    <xf numFmtId="0" fontId="9" fillId="0" borderId="6" xfId="0" applyFont="1" applyFill="1" applyBorder="1" applyAlignment="1">
      <alignment horizontal="center" vertical="center"/>
    </xf>
    <xf numFmtId="0" fontId="7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7" fillId="5" borderId="0" xfId="0" applyFont="1" applyFill="1"/>
    <xf numFmtId="0" fontId="9" fillId="0" borderId="6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0" xfId="0" applyFont="1" applyFill="1" applyAlignment="1" applyProtection="1">
      <alignment horizontal="left" vertical="center" wrapText="1"/>
      <protection locked="0"/>
    </xf>
    <xf numFmtId="0" fontId="7" fillId="2" borderId="0" xfId="0" applyFont="1" applyFill="1" applyAlignment="1">
      <alignment vertical="top"/>
    </xf>
    <xf numFmtId="0" fontId="7" fillId="0" borderId="0" xfId="0" applyFont="1" applyFill="1" applyAlignment="1">
      <alignment vertical="top"/>
    </xf>
    <xf numFmtId="0" fontId="7" fillId="2" borderId="0" xfId="0" applyFont="1" applyFill="1" applyAlignment="1" applyProtection="1">
      <alignment vertical="top"/>
      <protection locked="0"/>
    </xf>
    <xf numFmtId="0" fontId="8" fillId="0" borderId="6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>
      <alignment horizontal="center" wrapText="1"/>
    </xf>
    <xf numFmtId="0" fontId="7" fillId="2" borderId="0" xfId="0" applyFont="1" applyFill="1" applyAlignment="1" applyProtection="1">
      <alignment horizontal="center" wrapText="1"/>
      <protection locked="0"/>
    </xf>
    <xf numFmtId="16" fontId="4" fillId="2" borderId="1" xfId="0" applyNumberFormat="1" applyFont="1" applyFill="1" applyBorder="1" applyAlignment="1">
      <alignment horizontal="center" vertical="center"/>
    </xf>
    <xf numFmtId="0" fontId="0" fillId="0" borderId="8" xfId="0" applyBorder="1"/>
    <xf numFmtId="0" fontId="0" fillId="0" borderId="15" xfId="0" applyBorder="1"/>
    <xf numFmtId="0" fontId="0" fillId="0" borderId="7" xfId="0" applyBorder="1"/>
    <xf numFmtId="0" fontId="0" fillId="0" borderId="1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7" fillId="2" borderId="20" xfId="0" applyFont="1" applyFill="1" applyBorder="1"/>
    <xf numFmtId="0" fontId="7" fillId="2" borderId="19" xfId="0" applyFont="1" applyFill="1" applyBorder="1"/>
    <xf numFmtId="20" fontId="7" fillId="2" borderId="0" xfId="0" applyNumberFormat="1" applyFont="1" applyFill="1" applyAlignment="1">
      <alignment horizontal="left" vertical="center" wrapText="1"/>
    </xf>
    <xf numFmtId="0" fontId="17" fillId="0" borderId="5" xfId="0" applyFont="1" applyBorder="1"/>
    <xf numFmtId="0" fontId="1" fillId="2" borderId="10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44" fontId="4" fillId="2" borderId="1" xfId="0" applyNumberFormat="1" applyFont="1" applyFill="1" applyBorder="1" applyAlignment="1">
      <alignment horizontal="center" vertical="center"/>
    </xf>
    <xf numFmtId="44" fontId="4" fillId="2" borderId="1" xfId="2" applyFont="1" applyFill="1" applyBorder="1" applyAlignment="1">
      <alignment horizontal="center" vertical="center"/>
    </xf>
    <xf numFmtId="44" fontId="4" fillId="2" borderId="5" xfId="2" applyFont="1" applyFill="1" applyBorder="1" applyAlignment="1">
      <alignment horizontal="center" vertical="center"/>
    </xf>
    <xf numFmtId="0" fontId="2" fillId="2" borderId="14" xfId="0" applyFont="1" applyFill="1" applyBorder="1"/>
    <xf numFmtId="0" fontId="2" fillId="2" borderId="0" xfId="0" applyFont="1" applyFill="1" applyBorder="1"/>
    <xf numFmtId="0" fontId="0" fillId="2" borderId="15" xfId="0" applyFont="1" applyFill="1" applyBorder="1"/>
    <xf numFmtId="44" fontId="4" fillId="2" borderId="1" xfId="2" applyFont="1" applyFill="1" applyBorder="1" applyAlignment="1">
      <alignment horizontal="left" vertical="center"/>
    </xf>
    <xf numFmtId="44" fontId="4" fillId="2" borderId="1" xfId="2" applyFont="1" applyFill="1" applyBorder="1" applyAlignment="1">
      <alignment horizontal="left" vertical="center" wrapText="1"/>
    </xf>
    <xf numFmtId="0" fontId="20" fillId="2" borderId="21" xfId="0" applyFont="1" applyFill="1" applyBorder="1" applyAlignment="1">
      <alignment horizontal="left" vertical="center" wrapText="1"/>
    </xf>
    <xf numFmtId="0" fontId="20" fillId="2" borderId="22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 vertical="center"/>
    </xf>
    <xf numFmtId="0" fontId="21" fillId="2" borderId="21" xfId="0" applyFont="1" applyFill="1" applyBorder="1" applyAlignment="1">
      <alignment horizontal="left" vertical="center" wrapText="1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1" xfId="0" applyFont="1" applyFill="1" applyBorder="1" applyAlignment="1">
      <alignment horizontal="left" vertical="center" wrapText="1"/>
    </xf>
    <xf numFmtId="44" fontId="22" fillId="2" borderId="22" xfId="2" applyFont="1" applyFill="1" applyBorder="1" applyAlignment="1">
      <alignment horizontal="left" vertical="center"/>
    </xf>
    <xf numFmtId="0" fontId="22" fillId="2" borderId="22" xfId="0" applyFont="1" applyFill="1" applyBorder="1" applyAlignment="1">
      <alignment horizontal="left" vertical="center"/>
    </xf>
    <xf numFmtId="0" fontId="22" fillId="2" borderId="23" xfId="0" applyFont="1" applyFill="1" applyBorder="1" applyAlignment="1">
      <alignment horizontal="left" vertical="center"/>
    </xf>
    <xf numFmtId="44" fontId="20" fillId="2" borderId="22" xfId="2" applyFont="1" applyFill="1" applyBorder="1" applyAlignment="1">
      <alignment horizontal="left" vertical="center"/>
    </xf>
    <xf numFmtId="44" fontId="4" fillId="2" borderId="5" xfId="0" applyNumberFormat="1" applyFont="1" applyFill="1" applyBorder="1" applyAlignment="1">
      <alignment horizontal="center" vertical="center"/>
    </xf>
    <xf numFmtId="44" fontId="20" fillId="2" borderId="22" xfId="0" applyNumberFormat="1" applyFont="1" applyFill="1" applyBorder="1" applyAlignment="1">
      <alignment horizontal="left" vertical="center"/>
    </xf>
    <xf numFmtId="44" fontId="10" fillId="0" borderId="1" xfId="0" applyNumberFormat="1" applyFont="1" applyFill="1" applyBorder="1" applyProtection="1">
      <protection locked="0"/>
    </xf>
    <xf numFmtId="0" fontId="7" fillId="0" borderId="1" xfId="0" applyFont="1" applyFill="1" applyBorder="1" applyAlignment="1" applyProtection="1">
      <alignment vertical="top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left" vertical="center" wrapText="1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Protection="1">
      <protection locked="0"/>
    </xf>
    <xf numFmtId="0" fontId="9" fillId="0" borderId="1" xfId="0" applyFont="1" applyFill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left" vertical="center" wrapText="1"/>
    </xf>
    <xf numFmtId="0" fontId="10" fillId="0" borderId="1" xfId="0" applyFont="1" applyFill="1" applyBorder="1" applyAlignment="1" applyProtection="1">
      <alignment horizontal="center" wrapText="1"/>
      <protection locked="0"/>
    </xf>
    <xf numFmtId="0" fontId="10" fillId="0" borderId="1" xfId="0" applyFont="1" applyFill="1" applyBorder="1" applyAlignment="1" applyProtection="1">
      <alignment horizontal="center"/>
      <protection locked="0"/>
    </xf>
    <xf numFmtId="0" fontId="8" fillId="0" borderId="1" xfId="0" applyFont="1" applyFill="1" applyBorder="1" applyAlignment="1" applyProtection="1">
      <alignment horizont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wrapText="1"/>
      <protection locked="0"/>
    </xf>
    <xf numFmtId="0" fontId="12" fillId="0" borderId="1" xfId="0" applyFont="1" applyFill="1" applyBorder="1" applyAlignment="1" applyProtection="1">
      <alignment vertical="top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left" vertical="center" wrapText="1"/>
      <protection locked="0"/>
    </xf>
    <xf numFmtId="0" fontId="12" fillId="0" borderId="1" xfId="0" applyFont="1" applyFill="1" applyBorder="1" applyAlignment="1" applyProtection="1">
      <alignment horizontal="center"/>
      <protection locked="0"/>
    </xf>
    <xf numFmtId="0" fontId="12" fillId="0" borderId="1" xfId="0" applyFont="1" applyFill="1" applyBorder="1" applyAlignment="1" applyProtection="1">
      <alignment horizontal="center" wrapText="1"/>
      <protection locked="0"/>
    </xf>
    <xf numFmtId="0" fontId="14" fillId="0" borderId="1" xfId="0" applyFont="1" applyFill="1" applyBorder="1" applyProtection="1">
      <protection locked="0"/>
    </xf>
    <xf numFmtId="44" fontId="14" fillId="0" borderId="1" xfId="0" applyNumberFormat="1" applyFont="1" applyFill="1" applyBorder="1" applyProtection="1">
      <protection locked="0"/>
    </xf>
    <xf numFmtId="0" fontId="7" fillId="0" borderId="1" xfId="0" applyFont="1" applyFill="1" applyBorder="1" applyAlignment="1" applyProtection="1">
      <alignment horizontal="center"/>
      <protection locked="0"/>
    </xf>
    <xf numFmtId="44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vertical="center"/>
      <protection locked="0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6" fillId="0" borderId="1" xfId="1" applyFill="1" applyBorder="1" applyAlignment="1" applyProtection="1">
      <alignment horizontal="center" vertical="center" wrapText="1"/>
      <protection locked="0"/>
    </xf>
    <xf numFmtId="44" fontId="7" fillId="0" borderId="1" xfId="0" applyNumberFormat="1" applyFont="1" applyFill="1" applyBorder="1" applyProtection="1">
      <protection locked="0"/>
    </xf>
    <xf numFmtId="0" fontId="7" fillId="0" borderId="1" xfId="0" applyFont="1" applyFill="1" applyBorder="1" applyProtection="1">
      <protection locked="0"/>
    </xf>
    <xf numFmtId="0" fontId="9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left" vertical="center" wrapText="1"/>
      <protection locked="0"/>
    </xf>
    <xf numFmtId="0" fontId="7" fillId="0" borderId="19" xfId="0" applyFont="1" applyBorder="1" applyAlignment="1">
      <alignment horizontal="left" vertical="center" wrapText="1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vertical="top"/>
      <protection locked="0"/>
    </xf>
    <xf numFmtId="0" fontId="9" fillId="0" borderId="5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left" vertical="center" wrapText="1"/>
      <protection locked="0"/>
    </xf>
    <xf numFmtId="0" fontId="7" fillId="0" borderId="5" xfId="0" applyFont="1" applyFill="1" applyBorder="1" applyAlignment="1" applyProtection="1">
      <alignment horizontal="center"/>
      <protection locked="0"/>
    </xf>
    <xf numFmtId="0" fontId="7" fillId="0" borderId="5" xfId="0" applyFont="1" applyFill="1" applyBorder="1" applyAlignment="1" applyProtection="1">
      <alignment horizontal="center" wrapText="1"/>
      <protection locked="0"/>
    </xf>
    <xf numFmtId="0" fontId="10" fillId="0" borderId="5" xfId="0" applyFont="1" applyFill="1" applyBorder="1" applyProtection="1">
      <protection locked="0"/>
    </xf>
    <xf numFmtId="0" fontId="10" fillId="0" borderId="5" xfId="0" applyFont="1" applyFill="1" applyBorder="1" applyAlignment="1" applyProtection="1">
      <alignment horizontal="center"/>
      <protection locked="0"/>
    </xf>
    <xf numFmtId="44" fontId="10" fillId="0" borderId="5" xfId="0" applyNumberFormat="1" applyFont="1" applyFill="1" applyBorder="1" applyAlignment="1" applyProtection="1">
      <alignment horizontal="center"/>
      <protection locked="0"/>
    </xf>
    <xf numFmtId="0" fontId="10" fillId="0" borderId="5" xfId="0" applyNumberFormat="1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 wrapText="1"/>
      <protection locked="0"/>
    </xf>
    <xf numFmtId="0" fontId="12" fillId="0" borderId="5" xfId="0" applyFont="1" applyFill="1" applyBorder="1" applyAlignment="1" applyProtection="1">
      <alignment vertical="top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2" fillId="0" borderId="5" xfId="0" applyFont="1" applyFill="1" applyBorder="1" applyAlignment="1" applyProtection="1">
      <alignment horizontal="left" vertical="center" wrapText="1"/>
      <protection locked="0"/>
    </xf>
    <xf numFmtId="0" fontId="12" fillId="0" borderId="5" xfId="0" applyFont="1" applyFill="1" applyBorder="1" applyAlignment="1" applyProtection="1">
      <alignment horizontal="center"/>
      <protection locked="0"/>
    </xf>
    <xf numFmtId="0" fontId="12" fillId="0" borderId="5" xfId="0" applyFont="1" applyFill="1" applyBorder="1" applyAlignment="1" applyProtection="1">
      <alignment horizontal="center" wrapText="1"/>
      <protection locked="0"/>
    </xf>
    <xf numFmtId="0" fontId="14" fillId="0" borderId="5" xfId="0" applyFont="1" applyFill="1" applyBorder="1" applyProtection="1">
      <protection locked="0"/>
    </xf>
    <xf numFmtId="0" fontId="14" fillId="0" borderId="5" xfId="0" applyFont="1" applyFill="1" applyBorder="1" applyAlignment="1" applyProtection="1">
      <alignment horizontal="center"/>
      <protection locked="0"/>
    </xf>
    <xf numFmtId="44" fontId="14" fillId="0" borderId="5" xfId="0" applyNumberFormat="1" applyFont="1" applyFill="1" applyBorder="1" applyAlignment="1" applyProtection="1">
      <alignment horizontal="center"/>
      <protection locked="0"/>
    </xf>
    <xf numFmtId="0" fontId="14" fillId="0" borderId="5" xfId="0" applyNumberFormat="1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 wrapText="1"/>
    </xf>
    <xf numFmtId="0" fontId="2" fillId="2" borderId="15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2" fillId="2" borderId="16" xfId="0" applyFont="1" applyFill="1" applyBorder="1" applyAlignment="1">
      <alignment horizontal="left" vertical="top" wrapText="1"/>
    </xf>
    <xf numFmtId="0" fontId="2" fillId="2" borderId="7" xfId="0" applyFont="1" applyFill="1" applyBorder="1" applyAlignment="1">
      <alignment horizontal="left" vertical="top" wrapText="1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left" vertical="center"/>
    </xf>
    <xf numFmtId="0" fontId="3" fillId="3" borderId="1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6" fillId="0" borderId="19" xfId="0" applyFont="1" applyBorder="1" applyAlignment="1">
      <alignment horizontal="center"/>
    </xf>
    <xf numFmtId="0" fontId="16" fillId="0" borderId="20" xfId="0" applyFont="1" applyBorder="1" applyAlignment="1">
      <alignment horizontal="center"/>
    </xf>
  </cellXfs>
  <cellStyles count="3">
    <cellStyle name="Hiperlink" xfId="1" builtinId="8"/>
    <cellStyle name="Moeda" xfId="2" builtinId="4"/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right style="thin">
          <color indexed="64"/>
        </right>
      </border>
    </dxf>
    <dxf>
      <font>
        <strike val="0"/>
        <outline val="0"/>
        <shadow val="0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9" tint="-0.24994659260841701"/>
      </font>
    </dxf>
    <dxf>
      <font>
        <b/>
        <i val="0"/>
        <color theme="7"/>
      </font>
    </dxf>
    <dxf>
      <font>
        <b/>
        <i val="0"/>
        <color rgb="FF7030A0"/>
      </font>
    </dxf>
    <dxf>
      <font>
        <b/>
        <i/>
        <color theme="6"/>
      </font>
    </dxf>
    <dxf>
      <font>
        <b/>
        <i val="0"/>
        <color theme="9" tint="-0.24994659260841701"/>
      </font>
    </dxf>
    <dxf>
      <font>
        <b/>
        <i val="0"/>
        <color theme="7"/>
      </font>
    </dxf>
    <dxf>
      <font>
        <b/>
        <i val="0"/>
        <color rgb="FF7030A0"/>
      </font>
    </dxf>
    <dxf>
      <font>
        <b/>
        <i/>
        <color theme="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Dashboard!$A$1</c:f>
          <c:strCache>
            <c:ptCount val="1"/>
            <c:pt idx="0">
              <c:v>Necessidade Serralheiro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61-4909-B96B-575B8D535982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61-4909-B96B-575B8D535982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61-4909-B96B-575B8D535982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D61-4909-B96B-575B8D53598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D61-4909-B96B-575B8D53598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D61-4909-B96B-575B8D53598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Dashboard!$A$3:$A$5</c:f>
              <c:strCache>
                <c:ptCount val="3"/>
                <c:pt idx="0">
                  <c:v>Sim</c:v>
                </c:pt>
                <c:pt idx="1">
                  <c:v>Não</c:v>
                </c:pt>
                <c:pt idx="2">
                  <c:v>Indefinido</c:v>
                </c:pt>
              </c:strCache>
            </c:strRef>
          </c:cat>
          <c:val>
            <c:numRef>
              <c:f>Dashboard!$B$3:$B$5</c:f>
              <c:numCache>
                <c:formatCode>General</c:formatCode>
                <c:ptCount val="3"/>
                <c:pt idx="0">
                  <c:v>4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D61-4909-B96B-575B8D5359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89648</xdr:colOff>
      <xdr:row>0</xdr:row>
      <xdr:rowOff>44824</xdr:rowOff>
    </xdr:from>
    <xdr:to>
      <xdr:col>9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391030" y="44824"/>
          <a:ext cx="1344705" cy="459442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89648</xdr:colOff>
      <xdr:row>0</xdr:row>
      <xdr:rowOff>44824</xdr:rowOff>
    </xdr:from>
    <xdr:to>
      <xdr:col>10</xdr:col>
      <xdr:colOff>224117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SpPr/>
      </xdr:nvSpPr>
      <xdr:spPr>
        <a:xfrm>
          <a:off x="13377023" y="44824"/>
          <a:ext cx="1353669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E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F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0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2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3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4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6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7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800-00000200000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2209993C-1090-45E6-B500-BD2B0A030210}"/>
            </a:ext>
          </a:extLst>
        </xdr:cNvPr>
        <xdr:cNvSpPr/>
      </xdr:nvSpPr>
      <xdr:spPr>
        <a:xfrm>
          <a:off x="1335461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B00-000002000000}"/>
            </a:ext>
          </a:extLst>
        </xdr:cNvPr>
        <xdr:cNvSpPr/>
      </xdr:nvSpPr>
      <xdr:spPr>
        <a:xfrm>
          <a:off x="1451666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B00-000002000000}"/>
            </a:ext>
          </a:extLst>
        </xdr:cNvPr>
        <xdr:cNvSpPr/>
      </xdr:nvSpPr>
      <xdr:spPr>
        <a:xfrm>
          <a:off x="1451666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B00-000002000000}"/>
            </a:ext>
          </a:extLst>
        </xdr:cNvPr>
        <xdr:cNvSpPr/>
      </xdr:nvSpPr>
      <xdr:spPr>
        <a:xfrm>
          <a:off x="14516661" y="44824"/>
          <a:ext cx="1588993" cy="457761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385002</xdr:colOff>
      <xdr:row>0</xdr:row>
      <xdr:rowOff>67235</xdr:rowOff>
    </xdr:from>
    <xdr:to>
      <xdr:col>2</xdr:col>
      <xdr:colOff>597913</xdr:colOff>
      <xdr:row>1</xdr:row>
      <xdr:rowOff>11206</xdr:rowOff>
    </xdr:to>
    <xdr:sp macro="" textlink="">
      <xdr:nvSpPr>
        <xdr:cNvPr id="10" name="Retangulo_padrao">
          <a:extLst>
            <a:ext uri="{FF2B5EF4-FFF2-40B4-BE49-F238E27FC236}">
              <a16:creationId xmlns:a16="http://schemas.microsoft.com/office/drawing/2014/main" xmlns="" id="{00000000-0008-0000-2900-00000A000000}"/>
            </a:ext>
          </a:extLst>
        </xdr:cNvPr>
        <xdr:cNvSpPr/>
      </xdr:nvSpPr>
      <xdr:spPr>
        <a:xfrm>
          <a:off x="1840966" y="67235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829954</xdr:colOff>
      <xdr:row>0</xdr:row>
      <xdr:rowOff>66274</xdr:rowOff>
    </xdr:from>
    <xdr:to>
      <xdr:col>2</xdr:col>
      <xdr:colOff>4418239</xdr:colOff>
      <xdr:row>2</xdr:row>
      <xdr:rowOff>99893</xdr:rowOff>
    </xdr:to>
    <xdr:sp macro="[0]!ADD_PROJECT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900-000002000000}"/>
            </a:ext>
          </a:extLst>
        </xdr:cNvPr>
        <xdr:cNvSpPr/>
      </xdr:nvSpPr>
      <xdr:spPr>
        <a:xfrm>
          <a:off x="1401454" y="66274"/>
          <a:ext cx="4472749" cy="441833"/>
        </a:xfrm>
        <a:prstGeom prst="roundRect">
          <a:avLst/>
        </a:prstGeom>
        <a:solidFill>
          <a:schemeClr val="accent5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2000" b="1" i="1" baseline="0">
              <a:latin typeface="Arial" panose="020B0604020202020204" pitchFamily="34" charset="0"/>
              <a:cs typeface="Arial" panose="020B0604020202020204" pitchFamily="34" charset="0"/>
            </a:rPr>
            <a:t> novo projeto +</a:t>
          </a:r>
          <a:endParaRPr lang="pt-BR" sz="2000" b="1" i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22412</xdr:colOff>
      <xdr:row>22</xdr:row>
      <xdr:rowOff>22412</xdr:rowOff>
    </xdr:from>
    <xdr:to>
      <xdr:col>0</xdr:col>
      <xdr:colOff>212912</xdr:colOff>
      <xdr:row>22</xdr:row>
      <xdr:rowOff>166412</xdr:rowOff>
    </xdr:to>
    <xdr:sp macro="BotaoLinkProjeto" textlink="">
      <xdr:nvSpPr>
        <xdr:cNvPr id="16" name="1">
          <a:extLst>
            <a:ext uri="{FF2B5EF4-FFF2-40B4-BE49-F238E27FC236}">
              <a16:creationId xmlns:a16="http://schemas.microsoft.com/office/drawing/2014/main" xmlns="" id="{00000000-0008-0000-2900-000010000000}"/>
            </a:ext>
          </a:extLst>
        </xdr:cNvPr>
        <xdr:cNvSpPr/>
      </xdr:nvSpPr>
      <xdr:spPr>
        <a:xfrm>
          <a:off x="22412" y="8796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22412</xdr:colOff>
      <xdr:row>24</xdr:row>
      <xdr:rowOff>22412</xdr:rowOff>
    </xdr:from>
    <xdr:to>
      <xdr:col>0</xdr:col>
      <xdr:colOff>212912</xdr:colOff>
      <xdr:row>24</xdr:row>
      <xdr:rowOff>166412</xdr:rowOff>
    </xdr:to>
    <xdr:sp macro="BotaoLinkProjeto" textlink="">
      <xdr:nvSpPr>
        <xdr:cNvPr id="18" name="3">
          <a:extLst>
            <a:ext uri="{FF2B5EF4-FFF2-40B4-BE49-F238E27FC236}">
              <a16:creationId xmlns:a16="http://schemas.microsoft.com/office/drawing/2014/main" xmlns="" id="{00000000-0008-0000-2900-000012000000}"/>
            </a:ext>
          </a:extLst>
        </xdr:cNvPr>
        <xdr:cNvSpPr/>
      </xdr:nvSpPr>
      <xdr:spPr>
        <a:xfrm>
          <a:off x="22412" y="5097876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23</xdr:row>
      <xdr:rowOff>22412</xdr:rowOff>
    </xdr:from>
    <xdr:to>
      <xdr:col>0</xdr:col>
      <xdr:colOff>212912</xdr:colOff>
      <xdr:row>23</xdr:row>
      <xdr:rowOff>166412</xdr:rowOff>
    </xdr:to>
    <xdr:sp macro="BotaoLinkProjeto" textlink="">
      <xdr:nvSpPr>
        <xdr:cNvPr id="19" name="4">
          <a:extLst>
            <a:ext uri="{FF2B5EF4-FFF2-40B4-BE49-F238E27FC236}">
              <a16:creationId xmlns:a16="http://schemas.microsoft.com/office/drawing/2014/main" xmlns="" id="{00000000-0008-0000-2900-000013000000}"/>
            </a:ext>
          </a:extLst>
        </xdr:cNvPr>
        <xdr:cNvSpPr/>
      </xdr:nvSpPr>
      <xdr:spPr>
        <a:xfrm>
          <a:off x="22412" y="147973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29</xdr:row>
      <xdr:rowOff>22412</xdr:rowOff>
    </xdr:from>
    <xdr:to>
      <xdr:col>0</xdr:col>
      <xdr:colOff>212912</xdr:colOff>
      <xdr:row>29</xdr:row>
      <xdr:rowOff>166412</xdr:rowOff>
    </xdr:to>
    <xdr:sp macro="BotaoLinkProjeto" textlink="">
      <xdr:nvSpPr>
        <xdr:cNvPr id="21" name="6">
          <a:extLst>
            <a:ext uri="{FF2B5EF4-FFF2-40B4-BE49-F238E27FC236}">
              <a16:creationId xmlns:a16="http://schemas.microsoft.com/office/drawing/2014/main" xmlns="" id="{00000000-0008-0000-2900-000015000000}"/>
            </a:ext>
          </a:extLst>
        </xdr:cNvPr>
        <xdr:cNvSpPr/>
      </xdr:nvSpPr>
      <xdr:spPr>
        <a:xfrm>
          <a:off x="22412" y="18702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30</xdr:row>
      <xdr:rowOff>22412</xdr:rowOff>
    </xdr:from>
    <xdr:to>
      <xdr:col>0</xdr:col>
      <xdr:colOff>212912</xdr:colOff>
      <xdr:row>30</xdr:row>
      <xdr:rowOff>166412</xdr:rowOff>
    </xdr:to>
    <xdr:sp macro="BotaoLinkProjeto" textlink="">
      <xdr:nvSpPr>
        <xdr:cNvPr id="22" name="7">
          <a:extLst>
            <a:ext uri="{FF2B5EF4-FFF2-40B4-BE49-F238E27FC236}">
              <a16:creationId xmlns:a16="http://schemas.microsoft.com/office/drawing/2014/main" xmlns="" id="{00000000-0008-0000-2900-000016000000}"/>
            </a:ext>
          </a:extLst>
        </xdr:cNvPr>
        <xdr:cNvSpPr/>
      </xdr:nvSpPr>
      <xdr:spPr>
        <a:xfrm>
          <a:off x="22412" y="207028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31</xdr:row>
      <xdr:rowOff>22412</xdr:rowOff>
    </xdr:from>
    <xdr:to>
      <xdr:col>0</xdr:col>
      <xdr:colOff>212912</xdr:colOff>
      <xdr:row>31</xdr:row>
      <xdr:rowOff>166412</xdr:rowOff>
    </xdr:to>
    <xdr:sp macro="BotaoLinkProjeto" textlink="">
      <xdr:nvSpPr>
        <xdr:cNvPr id="23" name="8">
          <a:extLst>
            <a:ext uri="{FF2B5EF4-FFF2-40B4-BE49-F238E27FC236}">
              <a16:creationId xmlns:a16="http://schemas.microsoft.com/office/drawing/2014/main" xmlns="" id="{00000000-0008-0000-2900-000017000000}"/>
            </a:ext>
          </a:extLst>
        </xdr:cNvPr>
        <xdr:cNvSpPr/>
      </xdr:nvSpPr>
      <xdr:spPr>
        <a:xfrm>
          <a:off x="22412" y="227031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16</xdr:row>
      <xdr:rowOff>22412</xdr:rowOff>
    </xdr:from>
    <xdr:to>
      <xdr:col>0</xdr:col>
      <xdr:colOff>212912</xdr:colOff>
      <xdr:row>16</xdr:row>
      <xdr:rowOff>166412</xdr:rowOff>
    </xdr:to>
    <xdr:sp macro="BotaoLinkProjeto" textlink="">
      <xdr:nvSpPr>
        <xdr:cNvPr id="24" name="9">
          <a:extLst>
            <a:ext uri="{FF2B5EF4-FFF2-40B4-BE49-F238E27FC236}">
              <a16:creationId xmlns:a16="http://schemas.microsoft.com/office/drawing/2014/main" xmlns="" id="{00000000-0008-0000-2900-000018000000}"/>
            </a:ext>
          </a:extLst>
        </xdr:cNvPr>
        <xdr:cNvSpPr/>
      </xdr:nvSpPr>
      <xdr:spPr>
        <a:xfrm>
          <a:off x="22412" y="247033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32</xdr:row>
      <xdr:rowOff>22412</xdr:rowOff>
    </xdr:from>
    <xdr:to>
      <xdr:col>0</xdr:col>
      <xdr:colOff>212912</xdr:colOff>
      <xdr:row>32</xdr:row>
      <xdr:rowOff>166412</xdr:rowOff>
    </xdr:to>
    <xdr:sp macro="BotaoLinkProjeto" textlink="">
      <xdr:nvSpPr>
        <xdr:cNvPr id="25" name="10">
          <a:extLst>
            <a:ext uri="{FF2B5EF4-FFF2-40B4-BE49-F238E27FC236}">
              <a16:creationId xmlns:a16="http://schemas.microsoft.com/office/drawing/2014/main" xmlns="" id="{00000000-0008-0000-2900-000019000000}"/>
            </a:ext>
          </a:extLst>
        </xdr:cNvPr>
        <xdr:cNvSpPr/>
      </xdr:nvSpPr>
      <xdr:spPr>
        <a:xfrm>
          <a:off x="22412" y="26703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25</xdr:row>
      <xdr:rowOff>22412</xdr:rowOff>
    </xdr:from>
    <xdr:to>
      <xdr:col>0</xdr:col>
      <xdr:colOff>212912</xdr:colOff>
      <xdr:row>25</xdr:row>
      <xdr:rowOff>166412</xdr:rowOff>
    </xdr:to>
    <xdr:sp macro="BotaoLinkProjeto" textlink="">
      <xdr:nvSpPr>
        <xdr:cNvPr id="26" name="11">
          <a:extLst>
            <a:ext uri="{FF2B5EF4-FFF2-40B4-BE49-F238E27FC236}">
              <a16:creationId xmlns:a16="http://schemas.microsoft.com/office/drawing/2014/main" xmlns="" id="{00000000-0008-0000-2900-00001A000000}"/>
            </a:ext>
          </a:extLst>
        </xdr:cNvPr>
        <xdr:cNvSpPr/>
      </xdr:nvSpPr>
      <xdr:spPr>
        <a:xfrm>
          <a:off x="22412" y="287038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33</xdr:row>
      <xdr:rowOff>22412</xdr:rowOff>
    </xdr:from>
    <xdr:to>
      <xdr:col>0</xdr:col>
      <xdr:colOff>212912</xdr:colOff>
      <xdr:row>33</xdr:row>
      <xdr:rowOff>166412</xdr:rowOff>
    </xdr:to>
    <xdr:sp macro="BotaoLinkProjeto" textlink="">
      <xdr:nvSpPr>
        <xdr:cNvPr id="27" name="12">
          <a:extLst>
            <a:ext uri="{FF2B5EF4-FFF2-40B4-BE49-F238E27FC236}">
              <a16:creationId xmlns:a16="http://schemas.microsoft.com/office/drawing/2014/main" xmlns="" id="{00000000-0008-0000-2900-00001B000000}"/>
            </a:ext>
          </a:extLst>
        </xdr:cNvPr>
        <xdr:cNvSpPr/>
      </xdr:nvSpPr>
      <xdr:spPr>
        <a:xfrm>
          <a:off x="22412" y="307041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34</xdr:row>
      <xdr:rowOff>22412</xdr:rowOff>
    </xdr:from>
    <xdr:to>
      <xdr:col>0</xdr:col>
      <xdr:colOff>212912</xdr:colOff>
      <xdr:row>34</xdr:row>
      <xdr:rowOff>166412</xdr:rowOff>
    </xdr:to>
    <xdr:sp macro="BotaoLinkProjeto" textlink="">
      <xdr:nvSpPr>
        <xdr:cNvPr id="28" name="13">
          <a:extLst>
            <a:ext uri="{FF2B5EF4-FFF2-40B4-BE49-F238E27FC236}">
              <a16:creationId xmlns:a16="http://schemas.microsoft.com/office/drawing/2014/main" xmlns="" id="{00000000-0008-0000-2900-00001C000000}"/>
            </a:ext>
          </a:extLst>
        </xdr:cNvPr>
        <xdr:cNvSpPr/>
      </xdr:nvSpPr>
      <xdr:spPr>
        <a:xfrm>
          <a:off x="22412" y="327043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35</xdr:row>
      <xdr:rowOff>22412</xdr:rowOff>
    </xdr:from>
    <xdr:to>
      <xdr:col>0</xdr:col>
      <xdr:colOff>212912</xdr:colOff>
      <xdr:row>35</xdr:row>
      <xdr:rowOff>166412</xdr:rowOff>
    </xdr:to>
    <xdr:sp macro="BotaoLinkProjeto" textlink="">
      <xdr:nvSpPr>
        <xdr:cNvPr id="29" name="14">
          <a:extLst>
            <a:ext uri="{FF2B5EF4-FFF2-40B4-BE49-F238E27FC236}">
              <a16:creationId xmlns:a16="http://schemas.microsoft.com/office/drawing/2014/main" xmlns="" id="{00000000-0008-0000-2900-00001D000000}"/>
            </a:ext>
          </a:extLst>
        </xdr:cNvPr>
        <xdr:cNvSpPr/>
      </xdr:nvSpPr>
      <xdr:spPr>
        <a:xfrm>
          <a:off x="22412" y="34704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36</xdr:row>
      <xdr:rowOff>22412</xdr:rowOff>
    </xdr:from>
    <xdr:to>
      <xdr:col>0</xdr:col>
      <xdr:colOff>212912</xdr:colOff>
      <xdr:row>36</xdr:row>
      <xdr:rowOff>166412</xdr:rowOff>
    </xdr:to>
    <xdr:sp macro="BotaoLinkProjeto" textlink="">
      <xdr:nvSpPr>
        <xdr:cNvPr id="30" name="15">
          <a:extLst>
            <a:ext uri="{FF2B5EF4-FFF2-40B4-BE49-F238E27FC236}">
              <a16:creationId xmlns:a16="http://schemas.microsoft.com/office/drawing/2014/main" xmlns="" id="{00000000-0008-0000-2900-00001E000000}"/>
            </a:ext>
          </a:extLst>
        </xdr:cNvPr>
        <xdr:cNvSpPr/>
      </xdr:nvSpPr>
      <xdr:spPr>
        <a:xfrm>
          <a:off x="22412" y="367048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37</xdr:row>
      <xdr:rowOff>22412</xdr:rowOff>
    </xdr:from>
    <xdr:to>
      <xdr:col>0</xdr:col>
      <xdr:colOff>212912</xdr:colOff>
      <xdr:row>37</xdr:row>
      <xdr:rowOff>166412</xdr:rowOff>
    </xdr:to>
    <xdr:sp macro="BotaoLinkProjeto" textlink="">
      <xdr:nvSpPr>
        <xdr:cNvPr id="31" name="16">
          <a:extLst>
            <a:ext uri="{FF2B5EF4-FFF2-40B4-BE49-F238E27FC236}">
              <a16:creationId xmlns:a16="http://schemas.microsoft.com/office/drawing/2014/main" xmlns="" id="{00000000-0008-0000-2900-00001F000000}"/>
            </a:ext>
          </a:extLst>
        </xdr:cNvPr>
        <xdr:cNvSpPr/>
      </xdr:nvSpPr>
      <xdr:spPr>
        <a:xfrm>
          <a:off x="22412" y="387051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38</xdr:row>
      <xdr:rowOff>22412</xdr:rowOff>
    </xdr:from>
    <xdr:to>
      <xdr:col>0</xdr:col>
      <xdr:colOff>212912</xdr:colOff>
      <xdr:row>38</xdr:row>
      <xdr:rowOff>166412</xdr:rowOff>
    </xdr:to>
    <xdr:sp macro="BotaoLinkProjeto" textlink="">
      <xdr:nvSpPr>
        <xdr:cNvPr id="32" name="17">
          <a:extLst>
            <a:ext uri="{FF2B5EF4-FFF2-40B4-BE49-F238E27FC236}">
              <a16:creationId xmlns:a16="http://schemas.microsoft.com/office/drawing/2014/main" xmlns="" id="{00000000-0008-0000-2900-000020000000}"/>
            </a:ext>
          </a:extLst>
        </xdr:cNvPr>
        <xdr:cNvSpPr/>
      </xdr:nvSpPr>
      <xdr:spPr>
        <a:xfrm>
          <a:off x="22412" y="407053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17</xdr:row>
      <xdr:rowOff>22412</xdr:rowOff>
    </xdr:from>
    <xdr:to>
      <xdr:col>0</xdr:col>
      <xdr:colOff>212912</xdr:colOff>
      <xdr:row>17</xdr:row>
      <xdr:rowOff>166412</xdr:rowOff>
    </xdr:to>
    <xdr:sp macro="BotaoLinkProjeto" textlink="">
      <xdr:nvSpPr>
        <xdr:cNvPr id="33" name="18">
          <a:extLst>
            <a:ext uri="{FF2B5EF4-FFF2-40B4-BE49-F238E27FC236}">
              <a16:creationId xmlns:a16="http://schemas.microsoft.com/office/drawing/2014/main" xmlns="" id="{00000000-0008-0000-2900-000021000000}"/>
            </a:ext>
          </a:extLst>
        </xdr:cNvPr>
        <xdr:cNvSpPr/>
      </xdr:nvSpPr>
      <xdr:spPr>
        <a:xfrm>
          <a:off x="22412" y="42705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10</xdr:row>
      <xdr:rowOff>22412</xdr:rowOff>
    </xdr:from>
    <xdr:to>
      <xdr:col>0</xdr:col>
      <xdr:colOff>212912</xdr:colOff>
      <xdr:row>10</xdr:row>
      <xdr:rowOff>166412</xdr:rowOff>
    </xdr:to>
    <xdr:sp macro="BotaoLinkProjeto" textlink="">
      <xdr:nvSpPr>
        <xdr:cNvPr id="34" name="19">
          <a:extLst>
            <a:ext uri="{FF2B5EF4-FFF2-40B4-BE49-F238E27FC236}">
              <a16:creationId xmlns:a16="http://schemas.microsoft.com/office/drawing/2014/main" xmlns="" id="{00000000-0008-0000-2900-000022000000}"/>
            </a:ext>
          </a:extLst>
        </xdr:cNvPr>
        <xdr:cNvSpPr/>
      </xdr:nvSpPr>
      <xdr:spPr>
        <a:xfrm>
          <a:off x="22412" y="447058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39</xdr:row>
      <xdr:rowOff>22412</xdr:rowOff>
    </xdr:from>
    <xdr:to>
      <xdr:col>0</xdr:col>
      <xdr:colOff>212912</xdr:colOff>
      <xdr:row>39</xdr:row>
      <xdr:rowOff>166412</xdr:rowOff>
    </xdr:to>
    <xdr:sp macro="BotaoLinkProjeto" textlink="">
      <xdr:nvSpPr>
        <xdr:cNvPr id="35" name="20">
          <a:extLst>
            <a:ext uri="{FF2B5EF4-FFF2-40B4-BE49-F238E27FC236}">
              <a16:creationId xmlns:a16="http://schemas.microsoft.com/office/drawing/2014/main" xmlns="" id="{00000000-0008-0000-2900-000023000000}"/>
            </a:ext>
          </a:extLst>
        </xdr:cNvPr>
        <xdr:cNvSpPr/>
      </xdr:nvSpPr>
      <xdr:spPr>
        <a:xfrm>
          <a:off x="22412" y="467061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40</xdr:row>
      <xdr:rowOff>22412</xdr:rowOff>
    </xdr:from>
    <xdr:to>
      <xdr:col>0</xdr:col>
      <xdr:colOff>212912</xdr:colOff>
      <xdr:row>40</xdr:row>
      <xdr:rowOff>166412</xdr:rowOff>
    </xdr:to>
    <xdr:sp macro="BotaoLinkProjeto" textlink="">
      <xdr:nvSpPr>
        <xdr:cNvPr id="36" name="21">
          <a:extLst>
            <a:ext uri="{FF2B5EF4-FFF2-40B4-BE49-F238E27FC236}">
              <a16:creationId xmlns:a16="http://schemas.microsoft.com/office/drawing/2014/main" xmlns="" id="{00000000-0008-0000-2900-000024000000}"/>
            </a:ext>
          </a:extLst>
        </xdr:cNvPr>
        <xdr:cNvSpPr/>
      </xdr:nvSpPr>
      <xdr:spPr>
        <a:xfrm>
          <a:off x="22412" y="487063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11</xdr:row>
      <xdr:rowOff>22412</xdr:rowOff>
    </xdr:from>
    <xdr:to>
      <xdr:col>0</xdr:col>
      <xdr:colOff>212912</xdr:colOff>
      <xdr:row>11</xdr:row>
      <xdr:rowOff>166412</xdr:rowOff>
    </xdr:to>
    <xdr:sp macro="BotaoLinkProjeto" textlink="">
      <xdr:nvSpPr>
        <xdr:cNvPr id="37" name="22">
          <a:extLst>
            <a:ext uri="{FF2B5EF4-FFF2-40B4-BE49-F238E27FC236}">
              <a16:creationId xmlns:a16="http://schemas.microsoft.com/office/drawing/2014/main" xmlns="" id="{00000000-0008-0000-2900-000025000000}"/>
            </a:ext>
          </a:extLst>
        </xdr:cNvPr>
        <xdr:cNvSpPr/>
      </xdr:nvSpPr>
      <xdr:spPr>
        <a:xfrm>
          <a:off x="22412" y="50706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41</xdr:row>
      <xdr:rowOff>22412</xdr:rowOff>
    </xdr:from>
    <xdr:to>
      <xdr:col>0</xdr:col>
      <xdr:colOff>212912</xdr:colOff>
      <xdr:row>41</xdr:row>
      <xdr:rowOff>166412</xdr:rowOff>
    </xdr:to>
    <xdr:sp macro="BotaoLinkProjeto" textlink="">
      <xdr:nvSpPr>
        <xdr:cNvPr id="38" name="23">
          <a:extLst>
            <a:ext uri="{FF2B5EF4-FFF2-40B4-BE49-F238E27FC236}">
              <a16:creationId xmlns:a16="http://schemas.microsoft.com/office/drawing/2014/main" xmlns="" id="{00000000-0008-0000-2900-000026000000}"/>
            </a:ext>
          </a:extLst>
        </xdr:cNvPr>
        <xdr:cNvSpPr/>
      </xdr:nvSpPr>
      <xdr:spPr>
        <a:xfrm>
          <a:off x="22412" y="527068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42</xdr:row>
      <xdr:rowOff>22412</xdr:rowOff>
    </xdr:from>
    <xdr:to>
      <xdr:col>0</xdr:col>
      <xdr:colOff>212912</xdr:colOff>
      <xdr:row>42</xdr:row>
      <xdr:rowOff>166412</xdr:rowOff>
    </xdr:to>
    <xdr:sp macro="BotaoLinkProjeto" textlink="">
      <xdr:nvSpPr>
        <xdr:cNvPr id="39" name="24">
          <a:extLst>
            <a:ext uri="{FF2B5EF4-FFF2-40B4-BE49-F238E27FC236}">
              <a16:creationId xmlns:a16="http://schemas.microsoft.com/office/drawing/2014/main" xmlns="" id="{00000000-0008-0000-2900-000027000000}"/>
            </a:ext>
          </a:extLst>
        </xdr:cNvPr>
        <xdr:cNvSpPr/>
      </xdr:nvSpPr>
      <xdr:spPr>
        <a:xfrm>
          <a:off x="22412" y="547071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43</xdr:row>
      <xdr:rowOff>22412</xdr:rowOff>
    </xdr:from>
    <xdr:to>
      <xdr:col>0</xdr:col>
      <xdr:colOff>212912</xdr:colOff>
      <xdr:row>43</xdr:row>
      <xdr:rowOff>166412</xdr:rowOff>
    </xdr:to>
    <xdr:sp macro="BotaoLinkProjeto" textlink="">
      <xdr:nvSpPr>
        <xdr:cNvPr id="40" name="25">
          <a:extLst>
            <a:ext uri="{FF2B5EF4-FFF2-40B4-BE49-F238E27FC236}">
              <a16:creationId xmlns:a16="http://schemas.microsoft.com/office/drawing/2014/main" xmlns="" id="{00000000-0008-0000-2900-000028000000}"/>
            </a:ext>
          </a:extLst>
        </xdr:cNvPr>
        <xdr:cNvSpPr/>
      </xdr:nvSpPr>
      <xdr:spPr>
        <a:xfrm>
          <a:off x="22412" y="567073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44</xdr:row>
      <xdr:rowOff>22412</xdr:rowOff>
    </xdr:from>
    <xdr:to>
      <xdr:col>0</xdr:col>
      <xdr:colOff>212912</xdr:colOff>
      <xdr:row>44</xdr:row>
      <xdr:rowOff>166412</xdr:rowOff>
    </xdr:to>
    <xdr:sp macro="BotaoLinkProjeto" textlink="">
      <xdr:nvSpPr>
        <xdr:cNvPr id="41" name="26">
          <a:extLst>
            <a:ext uri="{FF2B5EF4-FFF2-40B4-BE49-F238E27FC236}">
              <a16:creationId xmlns:a16="http://schemas.microsoft.com/office/drawing/2014/main" xmlns="" id="{00000000-0008-0000-2900-000029000000}"/>
            </a:ext>
          </a:extLst>
        </xdr:cNvPr>
        <xdr:cNvSpPr/>
      </xdr:nvSpPr>
      <xdr:spPr>
        <a:xfrm>
          <a:off x="22412" y="5870762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12</xdr:row>
      <xdr:rowOff>22412</xdr:rowOff>
    </xdr:from>
    <xdr:to>
      <xdr:col>0</xdr:col>
      <xdr:colOff>212912</xdr:colOff>
      <xdr:row>12</xdr:row>
      <xdr:rowOff>166412</xdr:rowOff>
    </xdr:to>
    <xdr:sp macro="BotaoLinkProjeto" textlink="">
      <xdr:nvSpPr>
        <xdr:cNvPr id="42" name="27">
          <a:extLst>
            <a:ext uri="{FF2B5EF4-FFF2-40B4-BE49-F238E27FC236}">
              <a16:creationId xmlns:a16="http://schemas.microsoft.com/office/drawing/2014/main" xmlns="" id="{00000000-0008-0000-2900-00002A000000}"/>
            </a:ext>
          </a:extLst>
        </xdr:cNvPr>
        <xdr:cNvSpPr/>
      </xdr:nvSpPr>
      <xdr:spPr>
        <a:xfrm>
          <a:off x="22412" y="607078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13</xdr:row>
      <xdr:rowOff>22412</xdr:rowOff>
    </xdr:from>
    <xdr:to>
      <xdr:col>0</xdr:col>
      <xdr:colOff>235323</xdr:colOff>
      <xdr:row>13</xdr:row>
      <xdr:rowOff>170490</xdr:rowOff>
    </xdr:to>
    <xdr:sp macro="BotaoLinkProjeto" textlink="">
      <xdr:nvSpPr>
        <xdr:cNvPr id="46" name="31">
          <a:extLst>
            <a:ext uri="{FF2B5EF4-FFF2-40B4-BE49-F238E27FC236}">
              <a16:creationId xmlns:a16="http://schemas.microsoft.com/office/drawing/2014/main" xmlns="" id="{00000000-0008-0000-2900-00002E000000}"/>
            </a:ext>
          </a:extLst>
        </xdr:cNvPr>
        <xdr:cNvSpPr/>
      </xdr:nvSpPr>
      <xdr:spPr>
        <a:xfrm>
          <a:off x="22412" y="8091448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26</xdr:row>
      <xdr:rowOff>22413</xdr:rowOff>
    </xdr:from>
    <xdr:to>
      <xdr:col>0</xdr:col>
      <xdr:colOff>235323</xdr:colOff>
      <xdr:row>26</xdr:row>
      <xdr:rowOff>170491</xdr:rowOff>
    </xdr:to>
    <xdr:sp macro="BotaoLinkProjeto" textlink="">
      <xdr:nvSpPr>
        <xdr:cNvPr id="49" name="33">
          <a:extLst>
            <a:ext uri="{FF2B5EF4-FFF2-40B4-BE49-F238E27FC236}">
              <a16:creationId xmlns:a16="http://schemas.microsoft.com/office/drawing/2014/main" xmlns="" id="{00000000-0008-0000-2900-000031000000}"/>
            </a:ext>
          </a:extLst>
        </xdr:cNvPr>
        <xdr:cNvSpPr/>
      </xdr:nvSpPr>
      <xdr:spPr>
        <a:xfrm>
          <a:off x="22412" y="8499663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14</xdr:row>
      <xdr:rowOff>22413</xdr:rowOff>
    </xdr:from>
    <xdr:to>
      <xdr:col>0</xdr:col>
      <xdr:colOff>235323</xdr:colOff>
      <xdr:row>14</xdr:row>
      <xdr:rowOff>170491</xdr:rowOff>
    </xdr:to>
    <xdr:sp macro="BotaoLinkProjeto" textlink="">
      <xdr:nvSpPr>
        <xdr:cNvPr id="50" name="34">
          <a:extLst>
            <a:ext uri="{FF2B5EF4-FFF2-40B4-BE49-F238E27FC236}">
              <a16:creationId xmlns:a16="http://schemas.microsoft.com/office/drawing/2014/main" xmlns="" id="{00000000-0008-0000-2900-000032000000}"/>
            </a:ext>
          </a:extLst>
        </xdr:cNvPr>
        <xdr:cNvSpPr/>
      </xdr:nvSpPr>
      <xdr:spPr>
        <a:xfrm>
          <a:off x="22412" y="8703770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15</xdr:row>
      <xdr:rowOff>22413</xdr:rowOff>
    </xdr:from>
    <xdr:to>
      <xdr:col>0</xdr:col>
      <xdr:colOff>235323</xdr:colOff>
      <xdr:row>15</xdr:row>
      <xdr:rowOff>170491</xdr:rowOff>
    </xdr:to>
    <xdr:sp macro="BotaoLinkProjeto" textlink="">
      <xdr:nvSpPr>
        <xdr:cNvPr id="51" name="35">
          <a:extLst>
            <a:ext uri="{FF2B5EF4-FFF2-40B4-BE49-F238E27FC236}">
              <a16:creationId xmlns:a16="http://schemas.microsoft.com/office/drawing/2014/main" xmlns="" id="{00000000-0008-0000-2900-000033000000}"/>
            </a:ext>
          </a:extLst>
        </xdr:cNvPr>
        <xdr:cNvSpPr/>
      </xdr:nvSpPr>
      <xdr:spPr>
        <a:xfrm>
          <a:off x="22412" y="8907877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21</xdr:row>
      <xdr:rowOff>22412</xdr:rowOff>
    </xdr:from>
    <xdr:to>
      <xdr:col>0</xdr:col>
      <xdr:colOff>235323</xdr:colOff>
      <xdr:row>21</xdr:row>
      <xdr:rowOff>170490</xdr:rowOff>
    </xdr:to>
    <xdr:sp macro="BotaoLinkProjeto" textlink="">
      <xdr:nvSpPr>
        <xdr:cNvPr id="53" name="37">
          <a:extLst>
            <a:ext uri="{FF2B5EF4-FFF2-40B4-BE49-F238E27FC236}">
              <a16:creationId xmlns:a16="http://schemas.microsoft.com/office/drawing/2014/main" xmlns="" id="{00000000-0008-0000-2900-000035000000}"/>
            </a:ext>
          </a:extLst>
        </xdr:cNvPr>
        <xdr:cNvSpPr/>
      </xdr:nvSpPr>
      <xdr:spPr>
        <a:xfrm>
          <a:off x="22412" y="9316091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18</xdr:row>
      <xdr:rowOff>22413</xdr:rowOff>
    </xdr:from>
    <xdr:to>
      <xdr:col>0</xdr:col>
      <xdr:colOff>235323</xdr:colOff>
      <xdr:row>18</xdr:row>
      <xdr:rowOff>170491</xdr:rowOff>
    </xdr:to>
    <xdr:sp macro="BotaoLinkProjeto" textlink="">
      <xdr:nvSpPr>
        <xdr:cNvPr id="55" name="39">
          <a:extLst>
            <a:ext uri="{FF2B5EF4-FFF2-40B4-BE49-F238E27FC236}">
              <a16:creationId xmlns:a16="http://schemas.microsoft.com/office/drawing/2014/main" xmlns="" id="{00000000-0008-0000-2900-000037000000}"/>
            </a:ext>
          </a:extLst>
        </xdr:cNvPr>
        <xdr:cNvSpPr/>
      </xdr:nvSpPr>
      <xdr:spPr>
        <a:xfrm>
          <a:off x="22412" y="9724306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19</xdr:row>
      <xdr:rowOff>22413</xdr:rowOff>
    </xdr:from>
    <xdr:to>
      <xdr:col>0</xdr:col>
      <xdr:colOff>235323</xdr:colOff>
      <xdr:row>19</xdr:row>
      <xdr:rowOff>170491</xdr:rowOff>
    </xdr:to>
    <xdr:sp macro="BotaoLinkProjeto" textlink="">
      <xdr:nvSpPr>
        <xdr:cNvPr id="56" name="40">
          <a:extLst>
            <a:ext uri="{FF2B5EF4-FFF2-40B4-BE49-F238E27FC236}">
              <a16:creationId xmlns:a16="http://schemas.microsoft.com/office/drawing/2014/main" xmlns="" id="{00000000-0008-0000-2900-000038000000}"/>
            </a:ext>
          </a:extLst>
        </xdr:cNvPr>
        <xdr:cNvSpPr/>
      </xdr:nvSpPr>
      <xdr:spPr>
        <a:xfrm>
          <a:off x="22412" y="9928413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20</xdr:row>
      <xdr:rowOff>22413</xdr:rowOff>
    </xdr:from>
    <xdr:to>
      <xdr:col>0</xdr:col>
      <xdr:colOff>235323</xdr:colOff>
      <xdr:row>20</xdr:row>
      <xdr:rowOff>170491</xdr:rowOff>
    </xdr:to>
    <xdr:sp macro="BotaoLinkProjeto" textlink="">
      <xdr:nvSpPr>
        <xdr:cNvPr id="57" name="41">
          <a:extLst>
            <a:ext uri="{FF2B5EF4-FFF2-40B4-BE49-F238E27FC236}">
              <a16:creationId xmlns:a16="http://schemas.microsoft.com/office/drawing/2014/main" xmlns="" id="{00000000-0008-0000-2900-000039000000}"/>
            </a:ext>
          </a:extLst>
        </xdr:cNvPr>
        <xdr:cNvSpPr/>
      </xdr:nvSpPr>
      <xdr:spPr>
        <a:xfrm>
          <a:off x="22412" y="10132520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9</xdr:row>
      <xdr:rowOff>22413</xdr:rowOff>
    </xdr:from>
    <xdr:to>
      <xdr:col>0</xdr:col>
      <xdr:colOff>235323</xdr:colOff>
      <xdr:row>9</xdr:row>
      <xdr:rowOff>170491</xdr:rowOff>
    </xdr:to>
    <xdr:sp macro="BotaoLinkProjeto" textlink="">
      <xdr:nvSpPr>
        <xdr:cNvPr id="58" name="42">
          <a:extLst>
            <a:ext uri="{FF2B5EF4-FFF2-40B4-BE49-F238E27FC236}">
              <a16:creationId xmlns:a16="http://schemas.microsoft.com/office/drawing/2014/main" xmlns="" id="{3472E89E-5D81-4817-9D02-574356CE25B6}"/>
            </a:ext>
          </a:extLst>
        </xdr:cNvPr>
        <xdr:cNvSpPr/>
      </xdr:nvSpPr>
      <xdr:spPr>
        <a:xfrm>
          <a:off x="22412" y="10336627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51</xdr:row>
      <xdr:rowOff>22412</xdr:rowOff>
    </xdr:from>
    <xdr:to>
      <xdr:col>0</xdr:col>
      <xdr:colOff>235323</xdr:colOff>
      <xdr:row>51</xdr:row>
      <xdr:rowOff>170490</xdr:rowOff>
    </xdr:to>
    <xdr:sp macro="BotaoLinkProjeto" textlink="">
      <xdr:nvSpPr>
        <xdr:cNvPr id="60" name="43">
          <a:extLst>
            <a:ext uri="{FF2B5EF4-FFF2-40B4-BE49-F238E27FC236}">
              <a16:creationId xmlns:a16="http://schemas.microsoft.com/office/drawing/2014/main" xmlns="" id="{00000000-0008-0000-2900-00000A000000}"/>
            </a:ext>
          </a:extLst>
        </xdr:cNvPr>
        <xdr:cNvSpPr/>
      </xdr:nvSpPr>
      <xdr:spPr>
        <a:xfrm>
          <a:off x="22412" y="10547537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52</xdr:row>
      <xdr:rowOff>22412</xdr:rowOff>
    </xdr:from>
    <xdr:to>
      <xdr:col>0</xdr:col>
      <xdr:colOff>235323</xdr:colOff>
      <xdr:row>52</xdr:row>
      <xdr:rowOff>166408</xdr:rowOff>
    </xdr:to>
    <xdr:sp macro="BotaoLinkProjeto" textlink="">
      <xdr:nvSpPr>
        <xdr:cNvPr id="54" name="44">
          <a:extLst>
            <a:ext uri="{FF2B5EF4-FFF2-40B4-BE49-F238E27FC236}">
              <a16:creationId xmlns:a16="http://schemas.microsoft.com/office/drawing/2014/main" xmlns="" id="{00000000-0008-0000-2900-00000A000000}"/>
            </a:ext>
          </a:extLst>
        </xdr:cNvPr>
        <xdr:cNvSpPr/>
      </xdr:nvSpPr>
      <xdr:spPr>
        <a:xfrm>
          <a:off x="22412" y="10547537"/>
          <a:ext cx="212911" cy="1439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27</xdr:row>
      <xdr:rowOff>27214</xdr:rowOff>
    </xdr:from>
    <xdr:to>
      <xdr:col>0</xdr:col>
      <xdr:colOff>217714</xdr:colOff>
      <xdr:row>27</xdr:row>
      <xdr:rowOff>171214</xdr:rowOff>
    </xdr:to>
    <xdr:sp macro="BotaoLinkProjeto" textlink="">
      <xdr:nvSpPr>
        <xdr:cNvPr id="43" name="2">
          <a:extLst>
            <a:ext uri="{FF2B5EF4-FFF2-40B4-BE49-F238E27FC236}">
              <a16:creationId xmlns:a16="http://schemas.microsoft.com/office/drawing/2014/main" xmlns="" id="{00000000-0008-0000-2900-000015000000}"/>
            </a:ext>
          </a:extLst>
        </xdr:cNvPr>
        <xdr:cNvSpPr/>
      </xdr:nvSpPr>
      <xdr:spPr>
        <a:xfrm>
          <a:off x="27214" y="6027964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28</xdr:row>
      <xdr:rowOff>27214</xdr:rowOff>
    </xdr:from>
    <xdr:to>
      <xdr:col>0</xdr:col>
      <xdr:colOff>217714</xdr:colOff>
      <xdr:row>28</xdr:row>
      <xdr:rowOff>171214</xdr:rowOff>
    </xdr:to>
    <xdr:sp macro="BotaoLinkProjeto" textlink="">
      <xdr:nvSpPr>
        <xdr:cNvPr id="44" name="5">
          <a:extLst>
            <a:ext uri="{FF2B5EF4-FFF2-40B4-BE49-F238E27FC236}">
              <a16:creationId xmlns:a16="http://schemas.microsoft.com/office/drawing/2014/main" xmlns="" id="{00000000-0008-0000-2900-000016000000}"/>
            </a:ext>
          </a:extLst>
        </xdr:cNvPr>
        <xdr:cNvSpPr/>
      </xdr:nvSpPr>
      <xdr:spPr>
        <a:xfrm>
          <a:off x="27214" y="6232071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45</xdr:row>
      <xdr:rowOff>27214</xdr:rowOff>
    </xdr:from>
    <xdr:to>
      <xdr:col>0</xdr:col>
      <xdr:colOff>217714</xdr:colOff>
      <xdr:row>45</xdr:row>
      <xdr:rowOff>171214</xdr:rowOff>
    </xdr:to>
    <xdr:sp macro="BotaoLinkProjeto" textlink="">
      <xdr:nvSpPr>
        <xdr:cNvPr id="45" name="28">
          <a:extLst>
            <a:ext uri="{FF2B5EF4-FFF2-40B4-BE49-F238E27FC236}">
              <a16:creationId xmlns:a16="http://schemas.microsoft.com/office/drawing/2014/main" xmlns="" id="{00000000-0008-0000-2900-000024000000}"/>
            </a:ext>
          </a:extLst>
        </xdr:cNvPr>
        <xdr:cNvSpPr/>
      </xdr:nvSpPr>
      <xdr:spPr>
        <a:xfrm>
          <a:off x="27214" y="9701893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46</xdr:row>
      <xdr:rowOff>27214</xdr:rowOff>
    </xdr:from>
    <xdr:to>
      <xdr:col>0</xdr:col>
      <xdr:colOff>217714</xdr:colOff>
      <xdr:row>46</xdr:row>
      <xdr:rowOff>171214</xdr:rowOff>
    </xdr:to>
    <xdr:sp macro="BotaoLinkProjeto" textlink="">
      <xdr:nvSpPr>
        <xdr:cNvPr id="47" name="38">
          <a:extLst>
            <a:ext uri="{FF2B5EF4-FFF2-40B4-BE49-F238E27FC236}">
              <a16:creationId xmlns:a16="http://schemas.microsoft.com/office/drawing/2014/main" xmlns="" id="{00000000-0008-0000-2900-000026000000}"/>
            </a:ext>
          </a:extLst>
        </xdr:cNvPr>
        <xdr:cNvSpPr/>
      </xdr:nvSpPr>
      <xdr:spPr>
        <a:xfrm>
          <a:off x="27214" y="9906000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47</xdr:row>
      <xdr:rowOff>27214</xdr:rowOff>
    </xdr:from>
    <xdr:to>
      <xdr:col>0</xdr:col>
      <xdr:colOff>217714</xdr:colOff>
      <xdr:row>47</xdr:row>
      <xdr:rowOff>171214</xdr:rowOff>
    </xdr:to>
    <xdr:sp macro="BotaoLinkProjeto" textlink="">
      <xdr:nvSpPr>
        <xdr:cNvPr id="48" name="29">
          <a:extLst>
            <a:ext uri="{FF2B5EF4-FFF2-40B4-BE49-F238E27FC236}">
              <a16:creationId xmlns:a16="http://schemas.microsoft.com/office/drawing/2014/main" xmlns="" id="{00000000-0008-0000-2900-000027000000}"/>
            </a:ext>
          </a:extLst>
        </xdr:cNvPr>
        <xdr:cNvSpPr/>
      </xdr:nvSpPr>
      <xdr:spPr>
        <a:xfrm>
          <a:off x="27214" y="10110107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48</xdr:row>
      <xdr:rowOff>27214</xdr:rowOff>
    </xdr:from>
    <xdr:to>
      <xdr:col>0</xdr:col>
      <xdr:colOff>217714</xdr:colOff>
      <xdr:row>48</xdr:row>
      <xdr:rowOff>171214</xdr:rowOff>
    </xdr:to>
    <xdr:sp macro="BotaoLinkProjeto" textlink="">
      <xdr:nvSpPr>
        <xdr:cNvPr id="52" name="30">
          <a:extLst>
            <a:ext uri="{FF2B5EF4-FFF2-40B4-BE49-F238E27FC236}">
              <a16:creationId xmlns:a16="http://schemas.microsoft.com/office/drawing/2014/main" xmlns="" id="{00000000-0008-0000-2900-000028000000}"/>
            </a:ext>
          </a:extLst>
        </xdr:cNvPr>
        <xdr:cNvSpPr/>
      </xdr:nvSpPr>
      <xdr:spPr>
        <a:xfrm>
          <a:off x="27214" y="10314214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49</xdr:row>
      <xdr:rowOff>27214</xdr:rowOff>
    </xdr:from>
    <xdr:to>
      <xdr:col>0</xdr:col>
      <xdr:colOff>217714</xdr:colOff>
      <xdr:row>49</xdr:row>
      <xdr:rowOff>171214</xdr:rowOff>
    </xdr:to>
    <xdr:sp macro="BotaoLinkProjeto" textlink="">
      <xdr:nvSpPr>
        <xdr:cNvPr id="59" name="32">
          <a:extLst>
            <a:ext uri="{FF2B5EF4-FFF2-40B4-BE49-F238E27FC236}">
              <a16:creationId xmlns:a16="http://schemas.microsoft.com/office/drawing/2014/main" xmlns="" id="{00000000-0008-0000-2900-000029000000}"/>
            </a:ext>
          </a:extLst>
        </xdr:cNvPr>
        <xdr:cNvSpPr/>
      </xdr:nvSpPr>
      <xdr:spPr>
        <a:xfrm>
          <a:off x="27214" y="10518321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50</xdr:row>
      <xdr:rowOff>27214</xdr:rowOff>
    </xdr:from>
    <xdr:to>
      <xdr:col>0</xdr:col>
      <xdr:colOff>217714</xdr:colOff>
      <xdr:row>50</xdr:row>
      <xdr:rowOff>171214</xdr:rowOff>
    </xdr:to>
    <xdr:sp macro="BotaoLinkProjeto" textlink="">
      <xdr:nvSpPr>
        <xdr:cNvPr id="61" name="36">
          <a:extLst>
            <a:ext uri="{FF2B5EF4-FFF2-40B4-BE49-F238E27FC236}">
              <a16:creationId xmlns:a16="http://schemas.microsoft.com/office/drawing/2014/main" xmlns="" id="{00000000-0008-0000-2900-000029000000}"/>
            </a:ext>
          </a:extLst>
        </xdr:cNvPr>
        <xdr:cNvSpPr/>
      </xdr:nvSpPr>
      <xdr:spPr>
        <a:xfrm>
          <a:off x="27214" y="10722428"/>
          <a:ext cx="190500" cy="14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22412</xdr:colOff>
      <xdr:row>53</xdr:row>
      <xdr:rowOff>22412</xdr:rowOff>
    </xdr:from>
    <xdr:to>
      <xdr:col>0</xdr:col>
      <xdr:colOff>235323</xdr:colOff>
      <xdr:row>53</xdr:row>
      <xdr:rowOff>170490</xdr:rowOff>
    </xdr:to>
    <xdr:sp macro="BotaoLinkProjeto" textlink="">
      <xdr:nvSpPr>
        <xdr:cNvPr id="62" name="45">
          <a:extLst>
            <a:ext uri="{FF2B5EF4-FFF2-40B4-BE49-F238E27FC236}">
              <a16:creationId xmlns:a16="http://schemas.microsoft.com/office/drawing/2014/main" xmlns="" id="{00000000-0008-0000-2900-00000A000000}"/>
            </a:ext>
          </a:extLst>
        </xdr:cNvPr>
        <xdr:cNvSpPr/>
      </xdr:nvSpPr>
      <xdr:spPr>
        <a:xfrm>
          <a:off x="22412" y="11147612"/>
          <a:ext cx="212911" cy="148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28575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2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67236</xdr:colOff>
      <xdr:row>0</xdr:row>
      <xdr:rowOff>44824</xdr:rowOff>
    </xdr:from>
    <xdr:to>
      <xdr:col>10</xdr:col>
      <xdr:colOff>437029</xdr:colOff>
      <xdr:row>2</xdr:row>
      <xdr:rowOff>112060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2B00-000002000000}"/>
            </a:ext>
          </a:extLst>
        </xdr:cNvPr>
        <xdr:cNvSpPr/>
      </xdr:nvSpPr>
      <xdr:spPr>
        <a:xfrm>
          <a:off x="14209060" y="44824"/>
          <a:ext cx="1580028" cy="459442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i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aProjetos" displayName="TabelaProjetos" ref="A9:S54" totalsRowShown="0" headerRowDxfId="24" dataDxfId="23" tableBorderDxfId="22">
  <autoFilter ref="A9:S54"/>
  <sortState ref="A10:S53">
    <sortCondition ref="B9:B53"/>
  </sortState>
  <tableColumns count="19">
    <tableColumn id="1" name="ID" dataDxfId="21"/>
    <tableColumn id="2" name="Prioridade" dataDxfId="20"/>
    <tableColumn id="3" name="Projeto" dataDxfId="19"/>
    <tableColumn id="4" name="Resposnável " dataDxfId="18"/>
    <tableColumn id="5" name="Equipe " dataDxfId="17"/>
    <tableColumn id="6" name="Precisa de uma serralheiro" dataDxfId="16"/>
    <tableColumn id="8" name="Status" dataDxfId="15"/>
    <tableColumn id="19" name="Custos" dataDxfId="14"/>
    <tableColumn id="13" name="Prazo de finalização" dataDxfId="13"/>
    <tableColumn id="14" name="Data finalização" dataDxfId="12"/>
    <tableColumn id="9" name="Progresso" dataDxfId="11"/>
    <tableColumn id="12" name="Beneficio para organização" dataDxfId="10"/>
    <tableColumn id="11" name="Abrangencia dos resultados" dataDxfId="9"/>
    <tableColumn id="10" name="Satisfação interna dos funcionários" dataDxfId="8"/>
    <tableColumn id="15" name="Investimento necessário" dataDxfId="7"/>
    <tableColumn id="16" name="Cliente externo: grau de impacto" dataDxfId="6"/>
    <tableColumn id="17" name="Operacionalização: grau de facilidade" dataDxfId="5"/>
    <tableColumn id="18" name="Índice básico" dataDxfId="4">
      <calculatedColumnFormula>IF(SUM(TabelaProjetos[[#This Row],[Beneficio para organização]:[Operacionalização: grau de facilidade]])&lt;&gt;0,SUM(TabelaProjetos[[#This Row],[Beneficio para organização]:[Operacionalização: grau de facilidade]]),"")</calculatedColumnFormula>
    </tableColumn>
    <tableColumn id="7" name="Ações necessarias /Priorização" dataDxfId="3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G2:G6" totalsRowShown="0" headerRowDxfId="2" dataDxfId="1">
  <autoFilter ref="G2:G6"/>
  <tableColumns count="1">
    <tableColumn id="1" name="Status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table" Target="../tables/table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29"/>
  <sheetViews>
    <sheetView view="pageBreakPreview" zoomScale="85" zoomScaleNormal="85" zoomScaleSheetLayoutView="85" workbookViewId="0">
      <selection activeCell="A2" sqref="A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36.28515625" style="2" bestFit="1" customWidth="1"/>
    <col min="4" max="5" width="26" style="2" customWidth="1"/>
    <col min="6" max="6" width="12.5703125" style="2" customWidth="1"/>
    <col min="7" max="7" width="12.5703125" style="1" customWidth="1"/>
    <col min="8" max="16384" width="9.140625" style="1"/>
  </cols>
  <sheetData>
    <row r="1" spans="1:7" x14ac:dyDescent="0.25">
      <c r="A1" s="4" t="s">
        <v>92</v>
      </c>
      <c r="B1" s="133" t="s">
        <v>99</v>
      </c>
      <c r="C1" s="134"/>
      <c r="D1" s="133" t="s">
        <v>2</v>
      </c>
      <c r="E1" s="134"/>
      <c r="F1" s="133" t="s">
        <v>95</v>
      </c>
      <c r="G1" s="134"/>
    </row>
    <row r="2" spans="1:7" ht="15.75" thickBot="1" x14ac:dyDescent="0.3">
      <c r="A2" s="3" t="str">
        <f ca="1">VLOOKUP(_xlfn.SHEET(),TabelaProjetos[],3,0)</f>
        <v>MAQUINAS DE LAVAR FORNOS</v>
      </c>
      <c r="B2" s="135" t="str">
        <f ca="1">IF(VLOOKUP(_xlfn.SHEET(),TabelaProjetos[],4,0)="","",VLOOKUP(_xlfn.SHEET(),TabelaProjetos[],4,0))</f>
        <v>Gross/Jeferson</v>
      </c>
      <c r="C2" s="136" t="e">
        <f>VLOOKUP($G$29,Projetos!$B$10:$S$54,2,0)</f>
        <v>#N/A</v>
      </c>
      <c r="D2" s="135" t="str">
        <f ca="1">IF(VLOOKUP(_xlfn.SHEET(),TabelaProjetos[],5,0)="","",VLOOKUP(_xlfn.SHEET(),TabelaProjetos[],5,0))</f>
        <v>Tatamento Termico/Segurança</v>
      </c>
      <c r="E2" s="136" t="e">
        <f>VLOOKUP($G$29,Projetos!$B$10:$S$54,2,0)</f>
        <v>#N/A</v>
      </c>
      <c r="F2" s="6"/>
      <c r="G2" s="5"/>
    </row>
    <row r="3" spans="1:7" x14ac:dyDescent="0.25">
      <c r="A3" s="137"/>
      <c r="B3" s="138"/>
      <c r="C3" s="138"/>
      <c r="D3" s="138"/>
      <c r="E3" s="138"/>
      <c r="F3" s="138"/>
      <c r="G3" s="139"/>
    </row>
    <row r="4" spans="1:7" x14ac:dyDescent="0.25">
      <c r="A4" s="10" t="s">
        <v>85</v>
      </c>
      <c r="B4" s="11" t="s">
        <v>86</v>
      </c>
      <c r="C4" s="11" t="s">
        <v>87</v>
      </c>
      <c r="D4" s="11" t="s">
        <v>89</v>
      </c>
      <c r="E4" s="11" t="s">
        <v>90</v>
      </c>
      <c r="F4" s="11" t="s">
        <v>88</v>
      </c>
      <c r="G4" s="11" t="s">
        <v>91</v>
      </c>
    </row>
    <row r="5" spans="1:7" x14ac:dyDescent="0.25">
      <c r="A5" s="20" t="s">
        <v>94</v>
      </c>
      <c r="B5" s="8">
        <v>0</v>
      </c>
      <c r="C5" s="8" t="s">
        <v>93</v>
      </c>
      <c r="D5" s="9"/>
      <c r="E5" s="9"/>
      <c r="F5" s="9"/>
      <c r="G5" s="9"/>
    </row>
    <row r="6" spans="1:7" x14ac:dyDescent="0.25">
      <c r="A6" s="20"/>
      <c r="B6" s="7"/>
      <c r="C6" s="7"/>
      <c r="D6" s="7"/>
      <c r="E6" s="7"/>
      <c r="F6" s="7"/>
      <c r="G6" s="7"/>
    </row>
    <row r="7" spans="1:7" x14ac:dyDescent="0.25">
      <c r="A7" s="20"/>
      <c r="C7" s="7"/>
      <c r="D7" s="7"/>
      <c r="E7" s="7"/>
      <c r="F7" s="7"/>
      <c r="G7" s="7"/>
    </row>
    <row r="8" spans="1:7" x14ac:dyDescent="0.25">
      <c r="A8" s="20"/>
      <c r="B8" s="7"/>
      <c r="C8" s="7"/>
      <c r="D8" s="7"/>
      <c r="E8" s="7"/>
      <c r="F8" s="7"/>
      <c r="G8" s="7"/>
    </row>
    <row r="9" spans="1:7" x14ac:dyDescent="0.25">
      <c r="A9" s="20"/>
      <c r="B9" s="7"/>
      <c r="C9" s="7"/>
      <c r="D9" s="7"/>
      <c r="E9" s="7"/>
      <c r="F9" s="7"/>
      <c r="G9" s="7"/>
    </row>
    <row r="10" spans="1:7" x14ac:dyDescent="0.25">
      <c r="A10" s="20"/>
      <c r="B10" s="7"/>
      <c r="C10" s="7"/>
      <c r="D10" s="7"/>
      <c r="E10" s="7"/>
      <c r="F10" s="7"/>
      <c r="G10" s="7"/>
    </row>
    <row r="11" spans="1:7" x14ac:dyDescent="0.25">
      <c r="A11" s="20"/>
      <c r="B11" s="7"/>
      <c r="C11" s="7"/>
      <c r="D11" s="7"/>
      <c r="E11" s="7"/>
      <c r="F11" s="7"/>
      <c r="G11" s="7"/>
    </row>
    <row r="12" spans="1:7" x14ac:dyDescent="0.25">
      <c r="A12" s="20"/>
      <c r="B12" s="7"/>
      <c r="C12" s="7"/>
      <c r="D12" s="7"/>
      <c r="E12" s="7"/>
      <c r="F12" s="7"/>
      <c r="G12" s="7"/>
    </row>
    <row r="13" spans="1:7" x14ac:dyDescent="0.25">
      <c r="A13" s="20"/>
      <c r="B13" s="7"/>
      <c r="C13" s="7"/>
      <c r="D13" s="7"/>
      <c r="E13" s="7"/>
      <c r="F13" s="7"/>
      <c r="G13" s="7"/>
    </row>
    <row r="14" spans="1:7" x14ac:dyDescent="0.25">
      <c r="A14" s="20"/>
      <c r="B14" s="7"/>
      <c r="C14" s="7"/>
      <c r="D14" s="7"/>
      <c r="E14" s="7"/>
      <c r="F14" s="7"/>
      <c r="G14" s="7"/>
    </row>
    <row r="15" spans="1:7" x14ac:dyDescent="0.25">
      <c r="A15" s="20"/>
      <c r="B15" s="7"/>
      <c r="C15" s="7"/>
      <c r="D15" s="7"/>
      <c r="E15" s="7"/>
      <c r="F15" s="7"/>
      <c r="G15" s="7"/>
    </row>
    <row r="16" spans="1:7" x14ac:dyDescent="0.25">
      <c r="A16" s="20"/>
      <c r="B16" s="7"/>
      <c r="C16" s="7"/>
      <c r="D16" s="7"/>
      <c r="E16" s="7"/>
      <c r="F16" s="7"/>
      <c r="G16" s="7"/>
    </row>
    <row r="17" spans="1:7" x14ac:dyDescent="0.25">
      <c r="A17" s="20"/>
      <c r="B17" s="7"/>
      <c r="C17" s="7"/>
      <c r="D17" s="7"/>
      <c r="E17" s="7"/>
      <c r="F17" s="7"/>
      <c r="G17" s="7"/>
    </row>
    <row r="18" spans="1:7" x14ac:dyDescent="0.25">
      <c r="A18" s="20"/>
      <c r="B18" s="7"/>
      <c r="C18" s="7"/>
      <c r="D18" s="7"/>
      <c r="E18" s="7"/>
      <c r="F18" s="7"/>
      <c r="G18" s="7"/>
    </row>
    <row r="19" spans="1:7" x14ac:dyDescent="0.25">
      <c r="A19" s="20"/>
      <c r="B19" s="7"/>
      <c r="C19" s="7"/>
      <c r="D19" s="7"/>
      <c r="E19" s="7"/>
      <c r="F19" s="7"/>
      <c r="G19" s="7"/>
    </row>
    <row r="20" spans="1:7" x14ac:dyDescent="0.25">
      <c r="A20" s="20"/>
      <c r="B20" s="7"/>
      <c r="C20" s="7"/>
      <c r="D20" s="7"/>
      <c r="E20" s="7"/>
      <c r="F20" s="7"/>
      <c r="G20" s="7"/>
    </row>
    <row r="21" spans="1:7" x14ac:dyDescent="0.25">
      <c r="A21" s="20"/>
      <c r="B21" s="7"/>
      <c r="C21" s="7"/>
      <c r="D21" s="7"/>
      <c r="E21" s="7"/>
      <c r="F21" s="7"/>
      <c r="G21" s="7"/>
    </row>
    <row r="22" spans="1:7" x14ac:dyDescent="0.25">
      <c r="A22" s="20"/>
      <c r="B22" s="7"/>
      <c r="C22" s="7"/>
      <c r="D22" s="7"/>
      <c r="E22" s="7"/>
      <c r="F22" s="7"/>
      <c r="G22" s="7"/>
    </row>
    <row r="23" spans="1:7" x14ac:dyDescent="0.25">
      <c r="A23" s="20"/>
      <c r="B23" s="7"/>
      <c r="C23" s="7"/>
      <c r="D23" s="7"/>
      <c r="E23" s="7"/>
      <c r="F23" s="7"/>
      <c r="G23" s="7"/>
    </row>
    <row r="24" spans="1:7" x14ac:dyDescent="0.25">
      <c r="A24" s="20"/>
      <c r="B24" s="7"/>
      <c r="C24" s="7"/>
      <c r="D24" s="7"/>
      <c r="E24" s="7"/>
      <c r="F24" s="7"/>
      <c r="G24" s="7"/>
    </row>
    <row r="25" spans="1:7" x14ac:dyDescent="0.25">
      <c r="A25" s="20"/>
      <c r="B25" s="7"/>
      <c r="C25" s="7"/>
      <c r="D25" s="7"/>
      <c r="E25" s="7"/>
      <c r="F25" s="7"/>
      <c r="G25" s="7"/>
    </row>
    <row r="26" spans="1:7" ht="15.75" thickBot="1" x14ac:dyDescent="0.3">
      <c r="A26" s="21"/>
      <c r="B26" s="12"/>
      <c r="C26" s="12"/>
      <c r="D26" s="12"/>
      <c r="E26" s="12"/>
      <c r="F26" s="12"/>
      <c r="G26" s="12"/>
    </row>
    <row r="27" spans="1:7" x14ac:dyDescent="0.25">
      <c r="A27" s="13" t="s">
        <v>97</v>
      </c>
      <c r="B27" s="14"/>
      <c r="C27" s="14"/>
      <c r="D27" s="14"/>
      <c r="E27" s="14"/>
      <c r="F27" s="14"/>
      <c r="G27" s="15"/>
    </row>
    <row r="28" spans="1:7" x14ac:dyDescent="0.25">
      <c r="A28" s="127"/>
      <c r="B28" s="128"/>
      <c r="C28" s="128"/>
      <c r="D28" s="128"/>
      <c r="E28" s="128"/>
      <c r="F28" s="128"/>
      <c r="G28" s="129"/>
    </row>
    <row r="29" spans="1:7" ht="15.75" thickBot="1" x14ac:dyDescent="0.3">
      <c r="A29" s="130"/>
      <c r="B29" s="131"/>
      <c r="C29" s="131"/>
      <c r="D29" s="131"/>
      <c r="E29" s="131"/>
      <c r="F29" s="131"/>
      <c r="G29" s="132"/>
    </row>
  </sheetData>
  <mergeCells count="7">
    <mergeCell ref="A28:G29"/>
    <mergeCell ref="D1:E1"/>
    <mergeCell ref="D2:E2"/>
    <mergeCell ref="B1:C1"/>
    <mergeCell ref="B2:C2"/>
    <mergeCell ref="A3:G3"/>
    <mergeCell ref="F1:G1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RETROFITING PRENSA SAKAMURA</v>
      </c>
      <c r="B2" s="135" t="str">
        <f>VLOOKUP($A$3,TabelaProjetos[],COLUMN(B1)+2,0)</f>
        <v>Gross / Wagner</v>
      </c>
      <c r="C2" s="144"/>
      <c r="D2" s="136" t="e">
        <f>VLOOKUP($H$29,Projetos!$B$10:$S$54,2,0)</f>
        <v>#N/A</v>
      </c>
      <c r="E2" s="135" t="str">
        <f>VLOOKUP($A$3,TabelaProjetos[],COLUMN(C1)+2,0)</f>
        <v>Produção / Manutenção</v>
      </c>
      <c r="F2" s="136" t="e">
        <f>VLOOKUP($H$29,Projetos!$B$10:$S$54,2,0)</f>
        <v>#N/A</v>
      </c>
      <c r="G2" s="135" t="str">
        <f>VLOOKUP($A$3,TabelaProjetos[],COLUMN(E1)+2,0)</f>
        <v>Suspenso</v>
      </c>
      <c r="H2" s="136" t="e">
        <f>VLOOKUP($H$29,Projetos!$B$10:$S$54,2,0)</f>
        <v>#N/A</v>
      </c>
    </row>
    <row r="3" spans="1:8" x14ac:dyDescent="0.25">
      <c r="A3" s="140">
        <v>2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6</v>
      </c>
      <c r="B5" s="8"/>
      <c r="C5" s="54"/>
      <c r="D5" s="8"/>
      <c r="E5" s="9"/>
      <c r="F5" s="9"/>
      <c r="G5" s="9"/>
      <c r="H5" s="9"/>
    </row>
    <row r="6" spans="1:8" x14ac:dyDescent="0.25">
      <c r="A6" s="20" t="s">
        <v>7</v>
      </c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4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 xml:space="preserve">SAKAMURA LAMINADORA 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16" t="s">
        <v>9</v>
      </c>
      <c r="B5" s="8">
        <v>0</v>
      </c>
      <c r="C5" s="54">
        <v>0</v>
      </c>
      <c r="D5" s="8" t="s">
        <v>93</v>
      </c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G2:H2"/>
    <mergeCell ref="B1:D1"/>
    <mergeCell ref="E1:F1"/>
    <mergeCell ref="G1:H1"/>
    <mergeCell ref="B2:D2"/>
    <mergeCell ref="E2:F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PATIO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11</v>
      </c>
      <c r="B5" s="8"/>
      <c r="C5" s="54"/>
      <c r="D5" s="8" t="s">
        <v>12</v>
      </c>
      <c r="E5" s="9"/>
      <c r="F5" s="9"/>
      <c r="G5" s="9"/>
      <c r="H5" s="9"/>
    </row>
    <row r="6" spans="1:8" x14ac:dyDescent="0.25">
      <c r="A6" s="20" t="s">
        <v>13</v>
      </c>
      <c r="B6" s="7"/>
      <c r="C6" s="54"/>
      <c r="D6" s="8" t="s">
        <v>14</v>
      </c>
      <c r="E6" s="7"/>
      <c r="F6" s="7"/>
      <c r="G6" s="7"/>
      <c r="H6" s="7"/>
    </row>
    <row r="7" spans="1:8" x14ac:dyDescent="0.25">
      <c r="A7" s="20" t="s">
        <v>15</v>
      </c>
      <c r="C7" s="54"/>
      <c r="D7" s="8" t="s">
        <v>4</v>
      </c>
      <c r="E7" s="7"/>
      <c r="F7" s="7"/>
      <c r="G7" s="7"/>
      <c r="H7" s="7"/>
    </row>
    <row r="8" spans="1:8" x14ac:dyDescent="0.25">
      <c r="A8" s="20" t="s">
        <v>16</v>
      </c>
      <c r="B8" s="7"/>
      <c r="C8" s="59"/>
      <c r="D8" s="8" t="s">
        <v>4</v>
      </c>
      <c r="E8" s="7"/>
      <c r="F8" s="7"/>
      <c r="G8" s="7"/>
      <c r="H8" s="7"/>
    </row>
    <row r="9" spans="1:8" x14ac:dyDescent="0.25">
      <c r="A9" s="20" t="s">
        <v>17</v>
      </c>
      <c r="C9" s="54"/>
      <c r="D9" s="8" t="s">
        <v>18</v>
      </c>
      <c r="E9" s="7"/>
      <c r="F9" s="7"/>
      <c r="G9" s="7"/>
      <c r="H9" s="7"/>
    </row>
    <row r="10" spans="1:8" x14ac:dyDescent="0.25">
      <c r="A10" s="20" t="s">
        <v>19</v>
      </c>
      <c r="B10" s="7"/>
      <c r="C10" s="54"/>
      <c r="D10" s="8" t="s">
        <v>18</v>
      </c>
      <c r="E10" s="7"/>
      <c r="F10" s="7"/>
      <c r="G10" s="7"/>
      <c r="H10" s="7"/>
    </row>
    <row r="11" spans="1:8" x14ac:dyDescent="0.25">
      <c r="A11" s="20" t="s">
        <v>20</v>
      </c>
      <c r="B11" s="7"/>
      <c r="C11" s="54"/>
      <c r="D11" s="8" t="s">
        <v>21</v>
      </c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ÁREA DE ESTOCAGEM DE MATERIAIS TREFILADOS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 xml:space="preserve">LIXO RECICLAVEL </v>
      </c>
      <c r="B2" s="135" t="str">
        <f ca="1">IF(VLOOKUP(_xlfn.SHEET(),TabelaProjetos[],4,0)="","",VLOOKUP(_xlfn.SHEET(),TabelaProjetos[],4,0))</f>
        <v>Gross / Mario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25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AÇÕES DE MELHORIA -INOVA TORK</v>
      </c>
      <c r="B2" s="135" t="str">
        <f ca="1">IF(VLOOKUP(_xlfn.SHEET(),TabelaProjetos[],4,0)="","",VLOOKUP(_xlfn.SHEET(),TabelaProjetos[],4,0))</f>
        <v>Marcelo/Torres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16" t="s">
        <v>27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 xml:space="preserve">MUDANÇA SALA MAGNA TESTE / LABORATÓRIO VELHO 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29</v>
      </c>
      <c r="B5" s="8"/>
      <c r="C5" s="54"/>
      <c r="D5" s="8" t="s">
        <v>30</v>
      </c>
      <c r="E5" s="9"/>
      <c r="F5" s="9"/>
      <c r="G5" s="9"/>
      <c r="H5" s="9"/>
    </row>
    <row r="6" spans="1:8" x14ac:dyDescent="0.25">
      <c r="A6" s="20" t="s">
        <v>31</v>
      </c>
      <c r="B6" s="8"/>
      <c r="C6" s="54"/>
      <c r="D6" s="8" t="s">
        <v>30</v>
      </c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LABORATORIO FÍSICO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2" t="s">
        <v>32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29"/>
  <sheetViews>
    <sheetView view="pageBreakPreview" topLeftCell="B1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CASA DAS BOMBAS LINHA DE INCÊNDIO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17" t="s">
        <v>34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SUPERVISÓRIO FORNOS - WANILTO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ALIMENTAÇÃO DE ÁGUA POTAVÉL NA FÁBRICA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SUPERVISÓRIO FORJARIA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PROJETO MÁQUINAS DE ESCOLHA</v>
      </c>
      <c r="B2" s="135" t="str">
        <f ca="1">IF(VLOOKUP(_xlfn.SHEET(),TabelaProjetos[],4,0)="","",VLOOKUP(_xlfn.SHEET(),TabelaProjetos[],4,0))</f>
        <v>Gross/Jeferson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16" t="s">
        <v>37</v>
      </c>
      <c r="B5" s="8"/>
      <c r="C5" s="54"/>
      <c r="D5" s="8"/>
      <c r="E5" s="9"/>
      <c r="F5" s="9"/>
      <c r="G5" s="9"/>
      <c r="H5" s="9"/>
    </row>
    <row r="6" spans="1:8" x14ac:dyDescent="0.25">
      <c r="A6" s="16" t="s">
        <v>38</v>
      </c>
      <c r="B6" s="7"/>
      <c r="C6" s="54"/>
      <c r="D6" s="7"/>
      <c r="E6" s="7"/>
      <c r="F6" s="7"/>
      <c r="G6" s="7"/>
      <c r="H6" s="7"/>
    </row>
    <row r="7" spans="1:8" x14ac:dyDescent="0.25">
      <c r="A7" s="20"/>
      <c r="C7" s="54"/>
      <c r="D7" s="7"/>
      <c r="E7" s="7"/>
      <c r="F7" s="7"/>
      <c r="G7" s="7"/>
      <c r="H7" s="7"/>
    </row>
    <row r="8" spans="1:8" x14ac:dyDescent="0.25">
      <c r="A8" s="20"/>
      <c r="B8" s="7"/>
      <c r="C8" s="59"/>
      <c r="D8" s="7"/>
      <c r="E8" s="7"/>
      <c r="F8" s="7"/>
      <c r="G8" s="7"/>
      <c r="H8" s="7"/>
    </row>
    <row r="9" spans="1:8" x14ac:dyDescent="0.25">
      <c r="A9" s="20"/>
      <c r="C9" s="54"/>
      <c r="D9" s="7"/>
      <c r="E9" s="7"/>
      <c r="F9" s="7"/>
      <c r="G9" s="7"/>
      <c r="H9" s="7"/>
    </row>
    <row r="10" spans="1:8" x14ac:dyDescent="0.25">
      <c r="A10" s="20"/>
      <c r="B10" s="7"/>
      <c r="C10" s="54"/>
      <c r="D10" s="7"/>
      <c r="E10" s="7"/>
      <c r="F10" s="7"/>
      <c r="G10" s="7"/>
      <c r="H10" s="7"/>
    </row>
    <row r="11" spans="1:8" x14ac:dyDescent="0.25">
      <c r="A11" s="20"/>
      <c r="B11" s="7"/>
      <c r="C11" s="54"/>
      <c r="D11" s="7"/>
      <c r="E11" s="7"/>
      <c r="F11" s="7"/>
      <c r="G11" s="7"/>
      <c r="H11" s="7"/>
    </row>
    <row r="12" spans="1:8" x14ac:dyDescent="0.25">
      <c r="A12" s="20"/>
      <c r="B12" s="7"/>
      <c r="C12" s="54"/>
      <c r="D12" s="7"/>
      <c r="E12" s="7"/>
      <c r="F12" s="7"/>
      <c r="G12" s="7"/>
      <c r="H12" s="7"/>
    </row>
    <row r="13" spans="1:8" x14ac:dyDescent="0.25">
      <c r="A13" s="20"/>
      <c r="B13" s="7"/>
      <c r="C13" s="54"/>
      <c r="D13" s="7"/>
      <c r="E13" s="7"/>
      <c r="F13" s="7"/>
      <c r="G13" s="7"/>
      <c r="H13" s="7"/>
    </row>
    <row r="14" spans="1:8" x14ac:dyDescent="0.25">
      <c r="A14" s="20"/>
      <c r="B14" s="7"/>
      <c r="C14" s="54"/>
      <c r="D14" s="7"/>
      <c r="E14" s="7"/>
      <c r="F14" s="7"/>
      <c r="G14" s="7"/>
      <c r="H14" s="7"/>
    </row>
    <row r="15" spans="1:8" x14ac:dyDescent="0.25">
      <c r="A15" s="20"/>
      <c r="B15" s="7"/>
      <c r="C15" s="54"/>
      <c r="D15" s="7"/>
      <c r="E15" s="7"/>
      <c r="F15" s="7"/>
      <c r="G15" s="7"/>
      <c r="H15" s="7"/>
    </row>
    <row r="16" spans="1:8" x14ac:dyDescent="0.25">
      <c r="A16" s="20"/>
      <c r="B16" s="7"/>
      <c r="C16" s="54"/>
      <c r="D16" s="7"/>
      <c r="E16" s="7"/>
      <c r="F16" s="7"/>
      <c r="G16" s="7"/>
      <c r="H16" s="7"/>
    </row>
    <row r="17" spans="1:8" x14ac:dyDescent="0.25">
      <c r="A17" s="20"/>
      <c r="B17" s="7"/>
      <c r="C17" s="54"/>
      <c r="D17" s="7"/>
      <c r="E17" s="7"/>
      <c r="F17" s="7"/>
      <c r="G17" s="7"/>
      <c r="H17" s="7"/>
    </row>
    <row r="18" spans="1:8" x14ac:dyDescent="0.25">
      <c r="A18" s="20"/>
      <c r="B18" s="7"/>
      <c r="C18" s="54"/>
      <c r="D18" s="7"/>
      <c r="E18" s="7"/>
      <c r="F18" s="7"/>
      <c r="G18" s="7"/>
      <c r="H18" s="7"/>
    </row>
    <row r="19" spans="1:8" x14ac:dyDescent="0.25">
      <c r="A19" s="20"/>
      <c r="B19" s="7"/>
      <c r="C19" s="54"/>
      <c r="D19" s="7"/>
      <c r="E19" s="7"/>
      <c r="F19" s="7"/>
      <c r="G19" s="7"/>
      <c r="H19" s="7"/>
    </row>
    <row r="20" spans="1:8" x14ac:dyDescent="0.25">
      <c r="A20" s="20"/>
      <c r="B20" s="7"/>
      <c r="C20" s="54"/>
      <c r="D20" s="7"/>
      <c r="E20" s="7"/>
      <c r="F20" s="7"/>
      <c r="G20" s="7"/>
      <c r="H20" s="7"/>
    </row>
    <row r="21" spans="1:8" x14ac:dyDescent="0.25">
      <c r="A21" s="20"/>
      <c r="B21" s="7"/>
      <c r="C21" s="54"/>
      <c r="D21" s="7"/>
      <c r="E21" s="7"/>
      <c r="F21" s="7"/>
      <c r="G21" s="7"/>
      <c r="H21" s="7"/>
    </row>
    <row r="22" spans="1:8" x14ac:dyDescent="0.25">
      <c r="A22" s="20"/>
      <c r="B22" s="7"/>
      <c r="C22" s="54"/>
      <c r="D22" s="7"/>
      <c r="E22" s="7"/>
      <c r="F22" s="7"/>
      <c r="G22" s="7"/>
      <c r="H22" s="7"/>
    </row>
    <row r="23" spans="1:8" x14ac:dyDescent="0.25">
      <c r="A23" s="20"/>
      <c r="B23" s="7"/>
      <c r="C23" s="54"/>
      <c r="D23" s="7"/>
      <c r="E23" s="7"/>
      <c r="F23" s="7"/>
      <c r="G23" s="7"/>
      <c r="H23" s="7"/>
    </row>
    <row r="24" spans="1:8" x14ac:dyDescent="0.25">
      <c r="A24" s="20"/>
      <c r="B24" s="7"/>
      <c r="C24" s="54"/>
      <c r="D24" s="7"/>
      <c r="E24" s="7"/>
      <c r="F24" s="7"/>
      <c r="G24" s="7"/>
      <c r="H24" s="7"/>
    </row>
    <row r="25" spans="1:8" ht="15.75" thickBot="1" x14ac:dyDescent="0.3">
      <c r="A25" s="21"/>
      <c r="B25" s="12"/>
      <c r="C25" s="55"/>
      <c r="D25" s="12"/>
      <c r="E25" s="12"/>
      <c r="F25" s="12"/>
      <c r="G25" s="12"/>
      <c r="H25" s="12"/>
    </row>
    <row r="26" spans="1:8" ht="15.75" thickBot="1" x14ac:dyDescent="0.3">
      <c r="A26" s="67" t="s">
        <v>207</v>
      </c>
      <c r="B26" s="69"/>
      <c r="C26" s="68">
        <f>SUM($C$5:$C$25)</f>
        <v>0</v>
      </c>
      <c r="D26" s="69"/>
      <c r="E26" s="69"/>
      <c r="F26" s="69"/>
      <c r="G26" s="69"/>
      <c r="H26" s="70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 xml:space="preserve">DIVISÓRIA E MEZANINO DA FERRAMENTARIA </v>
      </c>
      <c r="B2" s="135" t="str">
        <f ca="1">IF(VLOOKUP(_xlfn.SHEET(),TabelaProjetos[],4,0)="","",VLOOKUP(_xlfn.SHEET(),TabelaProjetos[],4,0))</f>
        <v>Gross/Antonio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41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VESTARIO E BANHEIRO FEMININO</v>
      </c>
      <c r="B2" s="135" t="str">
        <f ca="1">IF(VLOOKUP(_xlfn.SHEET(),TabelaProjetos[],4,0)="","",VLOOKUP(_xlfn.SHEET(),TabelaProjetos[],4,0))</f>
        <v>Torres/Marcelo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44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ALMOXARIFADO CENTRAL</v>
      </c>
      <c r="B2" s="135" t="str">
        <f ca="1">IF(VLOOKUP(_xlfn.SHEET(),TabelaProjetos[],4,0)="","",VLOOKUP(_xlfn.SHEET(),TabelaProjetos[],4,0))</f>
        <v>Gross/Carlos/Torres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ÁREA DA LIMPEZA E LAB. FORNO</v>
      </c>
      <c r="B2" s="135" t="str">
        <f ca="1">IF(VLOOKUP(_xlfn.SHEET(),TabelaProjetos[],4,0)="","",VLOOKUP(_xlfn.SHEET(),TabelaProjetos[],4,0))</f>
        <v>Gross/torres /Carol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INSTALAÇÃO DA NOVA LINHA FORJARIA</v>
      </c>
      <c r="B2" s="135" t="str">
        <f ca="1">IF(VLOOKUP(_xlfn.SHEET(),TabelaProjetos[],4,0)="","",VLOOKUP(_xlfn.SHEET(),TabelaProjetos[],4,0))</f>
        <v>Gross/Charles/Torres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ABERTURA DE NOVA PASSAGEM PARA O GALPÃO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50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 xml:space="preserve">RECEBIMENTO 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ht="25.5" x14ac:dyDescent="0.25">
      <c r="A5" s="20" t="s">
        <v>52</v>
      </c>
      <c r="B5" s="8"/>
      <c r="C5" s="54"/>
      <c r="D5" s="8" t="s">
        <v>53</v>
      </c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INSTALAÇÃO DAS TREFILAS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54</v>
      </c>
      <c r="B5" s="8"/>
      <c r="C5" s="54"/>
      <c r="D5" s="8" t="s">
        <v>55</v>
      </c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LAMINADORAS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57</v>
      </c>
      <c r="B5" s="8"/>
      <c r="C5" s="54"/>
      <c r="D5" s="8" t="s">
        <v>55</v>
      </c>
      <c r="E5" s="9"/>
      <c r="F5" s="9"/>
      <c r="G5" s="9"/>
      <c r="H5" s="9"/>
    </row>
    <row r="6" spans="1:8" x14ac:dyDescent="0.25">
      <c r="A6" s="20" t="s">
        <v>58</v>
      </c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TANQUE DE REFRIGERAÇÃO DO ÓLEO SOLUVEL- NATIONAL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59</v>
      </c>
      <c r="B5" s="8"/>
      <c r="C5" s="54"/>
      <c r="D5" s="8" t="s">
        <v>53</v>
      </c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PCFACTOR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ht="25.5" x14ac:dyDescent="0.25">
      <c r="A5" s="20" t="s">
        <v>61</v>
      </c>
      <c r="B5" s="8"/>
      <c r="C5" s="54"/>
      <c r="D5" s="8" t="s">
        <v>62</v>
      </c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ELIMINAR TORRE DE RESFRIAMENTO (ÁREA DE LAMINAÇÃO)</v>
      </c>
      <c r="B2" s="135" t="str">
        <f ca="1">IF(VLOOKUP(_xlfn.SHEET(),TabelaProjetos[],4,0)="","",VLOOKUP(_xlfn.SHEET(),TabelaProjetos[],4,0))</f>
        <v>Vagner/Jefferson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ht="25.5" x14ac:dyDescent="0.25">
      <c r="A5" s="20" t="s">
        <v>64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LINHA DE AR COMPRIMIDO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ht="25.5" x14ac:dyDescent="0.25">
      <c r="A5" s="20" t="s">
        <v>100</v>
      </c>
      <c r="B5" s="8"/>
      <c r="C5" s="54"/>
      <c r="D5" s="8" t="s">
        <v>66</v>
      </c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 xml:space="preserve">ESGOTOS-ACERTO PARA DESCARTE APRORIADO 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67</v>
      </c>
      <c r="B5" s="8"/>
      <c r="C5" s="54"/>
      <c r="D5" s="8"/>
      <c r="E5" s="9"/>
      <c r="F5" s="9"/>
      <c r="G5" s="9"/>
      <c r="H5" s="9"/>
    </row>
    <row r="6" spans="1:8" x14ac:dyDescent="0.25">
      <c r="A6" s="20" t="s">
        <v>68</v>
      </c>
      <c r="B6" s="8"/>
      <c r="C6" s="54"/>
      <c r="D6" s="8"/>
      <c r="E6" s="8"/>
      <c r="F6" s="8"/>
      <c r="G6" s="8"/>
      <c r="H6" s="8"/>
    </row>
    <row r="7" spans="1:8" x14ac:dyDescent="0.25">
      <c r="A7" s="20" t="s">
        <v>69</v>
      </c>
      <c r="B7" s="19"/>
      <c r="C7" s="54"/>
      <c r="D7" s="8"/>
      <c r="E7" s="8"/>
      <c r="F7" s="8"/>
      <c r="G7" s="8"/>
      <c r="H7" s="8"/>
    </row>
    <row r="8" spans="1:8" x14ac:dyDescent="0.25">
      <c r="A8" s="20" t="s">
        <v>70</v>
      </c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1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 ca="1">VLOOKUP(_xlfn.SHEET(),TabelaProjetos[],3,0)</f>
        <v>PROJETO DE PREVENSÃO DE ENCHENTE</v>
      </c>
      <c r="B2" s="135" t="str">
        <f ca="1">IF(VLOOKUP(_xlfn.SHEET(),TabelaProjetos[],4,0)="","",VLOOKUP(_xlfn.SHEET(),TabelaProjetos[],4,0))</f>
        <v/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VLOOKUP($A$3,TabelaProjetos[],COLUMN(E1)+2,0)</f>
        <v>#N/A</v>
      </c>
      <c r="H2" s="136" t="e">
        <f>VLOOKUP($H$29,Projetos!$B$10:$S$54,2,0)</f>
        <v>#N/A</v>
      </c>
    </row>
    <row r="3" spans="1:8" x14ac:dyDescent="0.25">
      <c r="A3" s="137"/>
      <c r="B3" s="138"/>
      <c r="C3" s="138"/>
      <c r="D3" s="138"/>
      <c r="E3" s="138"/>
      <c r="F3" s="138"/>
      <c r="G3" s="138"/>
      <c r="H3" s="139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71</v>
      </c>
      <c r="B5" s="8"/>
      <c r="C5" s="54"/>
      <c r="D5" s="8"/>
      <c r="E5" s="9"/>
      <c r="F5" s="9"/>
      <c r="G5" s="9"/>
      <c r="H5" s="9"/>
    </row>
    <row r="6" spans="1:8" x14ac:dyDescent="0.25">
      <c r="A6" s="20" t="s">
        <v>72</v>
      </c>
      <c r="B6" s="8"/>
      <c r="C6" s="54"/>
      <c r="D6" s="8"/>
      <c r="E6" s="8"/>
      <c r="F6" s="8"/>
      <c r="G6" s="8"/>
      <c r="H6" s="8"/>
    </row>
    <row r="7" spans="1:8" x14ac:dyDescent="0.25">
      <c r="A7" s="20" t="s">
        <v>73</v>
      </c>
      <c r="B7" s="19"/>
      <c r="C7" s="54"/>
      <c r="D7" s="8"/>
      <c r="E7" s="8"/>
      <c r="F7" s="8"/>
      <c r="G7" s="8"/>
      <c r="H7" s="8"/>
    </row>
    <row r="8" spans="1:8" x14ac:dyDescent="0.25">
      <c r="A8" s="20" t="s">
        <v>74</v>
      </c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LINHA DE FIBRA OTICA TI</v>
      </c>
      <c r="B2" s="135" t="str">
        <f>VLOOKUP($A$3,TabelaProjetos[],COLUMN(B1)+2,0)</f>
        <v>Torres/Fagan</v>
      </c>
      <c r="C2" s="144"/>
      <c r="D2" s="136" t="e">
        <f>VLOOKUP($H$29,Projetos!$B$10:$S$54,2,0)</f>
        <v>#N/A</v>
      </c>
      <c r="E2" s="135" t="str">
        <f>VLOOKUP($A$3,TabelaProjetos[],COLUMN(C1)+2,0)</f>
        <v>Gross/Artur/Vagner</v>
      </c>
      <c r="F2" s="136" t="e">
        <f>VLOOKUP($H$29,Projetos!$B$10:$S$54,2,0)</f>
        <v>#N/A</v>
      </c>
      <c r="G2" s="135" t="str">
        <f>VLOOKUP($A$3,TabelaProjetos[],COLUMN(E1)+2,0)</f>
        <v>Suspenso</v>
      </c>
      <c r="H2" s="136" t="e">
        <f>VLOOKUP($H$29,Projetos!$B$10:$S$54,2,0)</f>
        <v>#N/A</v>
      </c>
    </row>
    <row r="3" spans="1:8" x14ac:dyDescent="0.25">
      <c r="A3" s="140">
        <v>30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104</v>
      </c>
      <c r="B5" s="8"/>
      <c r="C5" s="54"/>
      <c r="D5" s="8" t="s">
        <v>103</v>
      </c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customWidth="1"/>
    <col min="3" max="3" width="21.7109375" style="2" bestFit="1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51" t="str">
        <f>VLOOKUP($A$3,TabelaProjetos[],COLUMN(A1)+2,0)</f>
        <v>BREJAUVA 266 (OFICINA ESQUINA RUA TUCUM / BREJAUVA)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31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197</v>
      </c>
      <c r="B5" s="8"/>
      <c r="C5" s="60">
        <v>20000</v>
      </c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60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4" t="s">
        <v>207</v>
      </c>
      <c r="B26" s="65"/>
      <c r="C26" s="68">
        <f>SUM($C$5:$C$25)</f>
        <v>20000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E1:F1"/>
    <mergeCell ref="G1:H1"/>
    <mergeCell ref="E2:F2"/>
    <mergeCell ref="G2:H2"/>
    <mergeCell ref="B2:D2"/>
    <mergeCell ref="B1:D1"/>
  </mergeCells>
  <pageMargins left="0.511811024" right="0.511811024" top="0.78740157499999996" bottom="0.78740157499999996" header="0.31496062000000002" footer="0.31496062000000002"/>
  <pageSetup paperSize="9" scale="35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:H29"/>
  <sheetViews>
    <sheetView view="pageBreakPreview" zoomScale="70" zoomScaleNormal="85" zoomScaleSheetLayoutView="70" workbookViewId="0">
      <selection activeCell="A2" sqref="A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FORJARIA AQUECIMENTO POR BOBINA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Cancelado</v>
      </c>
      <c r="H2" s="136" t="e">
        <f>VLOOKUP($H$29,Projetos!$B$10:$S$54,2,0)</f>
        <v>#N/A</v>
      </c>
    </row>
    <row r="3" spans="1:8" x14ac:dyDescent="0.25">
      <c r="A3" s="140">
        <v>32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MANUTENÇÃO TRATAMENTO TERMICO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33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203</v>
      </c>
      <c r="B5" s="8"/>
      <c r="C5" s="54">
        <v>49795.98</v>
      </c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49795.98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PRENSA CHUN ZU 204 VELHA 0210-TRANSFER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34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198</v>
      </c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 t="s">
        <v>199</v>
      </c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 t="s">
        <v>200</v>
      </c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1" t="s">
        <v>207</v>
      </c>
      <c r="B26" s="62"/>
      <c r="C26" s="71">
        <f>SUM($C$5:$C$25)</f>
        <v>0</v>
      </c>
      <c r="D26" s="62"/>
      <c r="E26" s="62"/>
      <c r="F26" s="62"/>
      <c r="G26" s="62"/>
      <c r="H26" s="63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RUA TUCUM 43-COBERTURA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35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201</v>
      </c>
      <c r="B5" s="52"/>
      <c r="C5" s="54">
        <v>102700</v>
      </c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 t="s">
        <v>202</v>
      </c>
      <c r="B7" s="52"/>
      <c r="C7" s="54">
        <v>35858.71</v>
      </c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138558.71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INFRA ELÉTRICA HOT FORMER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 / Manutenção</v>
      </c>
      <c r="F2" s="136" t="e">
        <f>VLOOKUP($H$29,Projetos!$B$10:$S$54,2,0)</f>
        <v>#N/A</v>
      </c>
      <c r="G2" s="135" t="str">
        <f>VLOOKUP($A$3,TabelaProjetos[],COLUMN(E1)+2,0)</f>
        <v>Finalizado</v>
      </c>
      <c r="H2" s="136" t="e">
        <f>VLOOKUP($H$29,Projetos!$B$10:$S$54,2,0)</f>
        <v>#N/A</v>
      </c>
    </row>
    <row r="3" spans="1:8" x14ac:dyDescent="0.25">
      <c r="A3" s="140">
        <v>36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HOT FORMER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37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REFORMA FORNO REX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39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TELHADO DA FÁBRICA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40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REFORMA SALA DA MANUTENÇÃO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41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4"/>
      <c r="D5" s="8"/>
      <c r="E5" s="9"/>
      <c r="F5" s="9"/>
      <c r="G5" s="9"/>
      <c r="H5" s="9"/>
    </row>
    <row r="6" spans="1:8" x14ac:dyDescent="0.25">
      <c r="A6" s="20"/>
      <c r="B6" s="8"/>
      <c r="C6" s="54"/>
      <c r="D6" s="8"/>
      <c r="E6" s="8"/>
      <c r="F6" s="8"/>
      <c r="G6" s="8"/>
      <c r="H6" s="8"/>
    </row>
    <row r="7" spans="1:8" x14ac:dyDescent="0.25">
      <c r="A7" s="20"/>
      <c r="B7" s="19"/>
      <c r="C7" s="54"/>
      <c r="D7" s="8"/>
      <c r="E7" s="8"/>
      <c r="F7" s="8"/>
      <c r="G7" s="8"/>
      <c r="H7" s="8"/>
    </row>
    <row r="8" spans="1:8" x14ac:dyDescent="0.25">
      <c r="A8" s="20"/>
      <c r="B8" s="8"/>
      <c r="C8" s="54"/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7" t="s">
        <v>207</v>
      </c>
      <c r="B26" s="65"/>
      <c r="C26" s="68">
        <f>SUM($C$5:$C$25)</f>
        <v>0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21.7109375" style="2" bestFit="1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LAYOUT EXPEDIÇÃO E QUALIDADE -GALPÃO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Gross/Valdomiro/Bete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42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 t="s">
        <v>153</v>
      </c>
      <c r="B5" s="8">
        <v>1</v>
      </c>
      <c r="C5" s="54">
        <v>1</v>
      </c>
      <c r="D5" s="8" t="s">
        <v>150</v>
      </c>
      <c r="E5" s="9"/>
      <c r="F5" s="9"/>
      <c r="G5" s="9"/>
      <c r="H5" s="9"/>
    </row>
    <row r="6" spans="1:8" x14ac:dyDescent="0.25">
      <c r="A6" s="20" t="s">
        <v>204</v>
      </c>
      <c r="B6" s="8">
        <v>2</v>
      </c>
      <c r="C6" s="54"/>
      <c r="D6" s="8" t="s">
        <v>53</v>
      </c>
      <c r="E6" s="40">
        <v>44740</v>
      </c>
      <c r="F6" s="40">
        <v>44740</v>
      </c>
      <c r="G6" s="40">
        <v>44740</v>
      </c>
      <c r="H6" s="40">
        <v>44740</v>
      </c>
    </row>
    <row r="7" spans="1:8" x14ac:dyDescent="0.25">
      <c r="A7" s="20" t="s">
        <v>151</v>
      </c>
      <c r="B7" s="19">
        <v>3</v>
      </c>
      <c r="C7" s="54"/>
      <c r="D7" s="8" t="s">
        <v>150</v>
      </c>
      <c r="E7" s="40">
        <v>44740</v>
      </c>
      <c r="F7" s="40">
        <v>44741</v>
      </c>
      <c r="G7" s="40">
        <v>44740</v>
      </c>
      <c r="H7" s="8"/>
    </row>
    <row r="8" spans="1:8" x14ac:dyDescent="0.25">
      <c r="A8" s="20" t="s">
        <v>206</v>
      </c>
      <c r="B8" s="8"/>
      <c r="C8" s="54">
        <v>3700</v>
      </c>
      <c r="D8" s="8"/>
      <c r="E8" s="8"/>
      <c r="F8" s="8"/>
      <c r="G8" s="8"/>
      <c r="H8" s="8"/>
    </row>
    <row r="9" spans="1:8" x14ac:dyDescent="0.25">
      <c r="A9" s="20"/>
      <c r="B9" s="19"/>
      <c r="C9" s="54"/>
      <c r="D9" s="8"/>
      <c r="E9" s="8"/>
      <c r="F9" s="8"/>
      <c r="G9" s="8"/>
      <c r="H9" s="8"/>
    </row>
    <row r="10" spans="1:8" x14ac:dyDescent="0.25">
      <c r="A10" s="20"/>
      <c r="B10" s="8"/>
      <c r="C10" s="54"/>
      <c r="D10" s="8"/>
      <c r="E10" s="8"/>
      <c r="F10" s="8"/>
      <c r="G10" s="8"/>
      <c r="H10" s="8"/>
    </row>
    <row r="11" spans="1:8" x14ac:dyDescent="0.25">
      <c r="A11" s="20"/>
      <c r="B11" s="8"/>
      <c r="C11" s="54"/>
      <c r="D11" s="8"/>
      <c r="E11" s="8"/>
      <c r="F11" s="8"/>
      <c r="G11" s="8"/>
      <c r="H11" s="8"/>
    </row>
    <row r="12" spans="1:8" x14ac:dyDescent="0.25">
      <c r="A12" s="20"/>
      <c r="B12" s="8"/>
      <c r="C12" s="54"/>
      <c r="D12" s="8"/>
      <c r="E12" s="8"/>
      <c r="F12" s="8"/>
      <c r="G12" s="8"/>
      <c r="H12" s="8"/>
    </row>
    <row r="13" spans="1:8" x14ac:dyDescent="0.25">
      <c r="A13" s="20"/>
      <c r="B13" s="8"/>
      <c r="C13" s="54"/>
      <c r="D13" s="8"/>
      <c r="E13" s="8"/>
      <c r="F13" s="8"/>
      <c r="G13" s="8"/>
      <c r="H13" s="8"/>
    </row>
    <row r="14" spans="1:8" x14ac:dyDescent="0.25">
      <c r="A14" s="20"/>
      <c r="B14" s="8"/>
      <c r="C14" s="54"/>
      <c r="D14" s="8"/>
      <c r="E14" s="8"/>
      <c r="F14" s="8"/>
      <c r="G14" s="8"/>
      <c r="H14" s="8"/>
    </row>
    <row r="15" spans="1:8" x14ac:dyDescent="0.25">
      <c r="A15" s="20"/>
      <c r="B15" s="8"/>
      <c r="C15" s="54"/>
      <c r="D15" s="8"/>
      <c r="E15" s="8"/>
      <c r="F15" s="8"/>
      <c r="G15" s="8"/>
      <c r="H15" s="8"/>
    </row>
    <row r="16" spans="1:8" x14ac:dyDescent="0.25">
      <c r="A16" s="20"/>
      <c r="B16" s="8"/>
      <c r="C16" s="54"/>
      <c r="D16" s="8"/>
      <c r="E16" s="8"/>
      <c r="F16" s="8"/>
      <c r="G16" s="8"/>
      <c r="H16" s="8"/>
    </row>
    <row r="17" spans="1:8" x14ac:dyDescent="0.25">
      <c r="A17" s="20"/>
      <c r="B17" s="8"/>
      <c r="C17" s="54"/>
      <c r="D17" s="8"/>
      <c r="E17" s="8"/>
      <c r="F17" s="8"/>
      <c r="G17" s="8"/>
      <c r="H17" s="8"/>
    </row>
    <row r="18" spans="1:8" x14ac:dyDescent="0.25">
      <c r="A18" s="20"/>
      <c r="B18" s="8"/>
      <c r="C18" s="54"/>
      <c r="D18" s="8"/>
      <c r="E18" s="8"/>
      <c r="F18" s="8"/>
      <c r="G18" s="8"/>
      <c r="H18" s="8"/>
    </row>
    <row r="19" spans="1:8" x14ac:dyDescent="0.25">
      <c r="A19" s="20"/>
      <c r="B19" s="8"/>
      <c r="C19" s="54"/>
      <c r="D19" s="8"/>
      <c r="E19" s="8"/>
      <c r="F19" s="8"/>
      <c r="G19" s="8"/>
      <c r="H19" s="8"/>
    </row>
    <row r="20" spans="1:8" x14ac:dyDescent="0.25">
      <c r="A20" s="20"/>
      <c r="B20" s="8"/>
      <c r="C20" s="54"/>
      <c r="D20" s="8"/>
      <c r="E20" s="8"/>
      <c r="F20" s="8"/>
      <c r="G20" s="8"/>
      <c r="H20" s="8"/>
    </row>
    <row r="21" spans="1:8" x14ac:dyDescent="0.25">
      <c r="A21" s="20"/>
      <c r="B21" s="8"/>
      <c r="C21" s="54"/>
      <c r="D21" s="8"/>
      <c r="E21" s="8"/>
      <c r="F21" s="8"/>
      <c r="G21" s="8"/>
      <c r="H21" s="8"/>
    </row>
    <row r="22" spans="1:8" x14ac:dyDescent="0.25">
      <c r="A22" s="20"/>
      <c r="B22" s="8"/>
      <c r="C22" s="54"/>
      <c r="D22" s="8"/>
      <c r="E22" s="8"/>
      <c r="F22" s="8"/>
      <c r="G22" s="8"/>
      <c r="H22" s="8"/>
    </row>
    <row r="23" spans="1:8" x14ac:dyDescent="0.25">
      <c r="A23" s="20"/>
      <c r="B23" s="8"/>
      <c r="C23" s="54"/>
      <c r="D23" s="8"/>
      <c r="E23" s="8"/>
      <c r="F23" s="8"/>
      <c r="G23" s="8"/>
      <c r="H23" s="8"/>
    </row>
    <row r="24" spans="1:8" x14ac:dyDescent="0.25">
      <c r="A24" s="20"/>
      <c r="B24" s="8"/>
      <c r="C24" s="54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55"/>
      <c r="D25" s="18"/>
      <c r="E25" s="18"/>
      <c r="F25" s="18"/>
      <c r="G25" s="18"/>
      <c r="H25" s="18"/>
    </row>
    <row r="26" spans="1:8" ht="15.75" thickBot="1" x14ac:dyDescent="0.3">
      <c r="A26" s="64" t="s">
        <v>207</v>
      </c>
      <c r="B26" s="65"/>
      <c r="C26" s="68">
        <f>SUM($C$5:$C$25)</f>
        <v>3701</v>
      </c>
      <c r="D26" s="65"/>
      <c r="E26" s="65"/>
      <c r="F26" s="65"/>
      <c r="G26" s="65"/>
      <c r="H26" s="66"/>
    </row>
    <row r="27" spans="1:8" x14ac:dyDescent="0.25">
      <c r="A27" s="56" t="s">
        <v>97</v>
      </c>
      <c r="B27" s="57"/>
      <c r="C27" s="57"/>
      <c r="D27" s="57"/>
      <c r="E27" s="57"/>
      <c r="F27" s="57"/>
      <c r="G27" s="57"/>
      <c r="H27" s="58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:H29"/>
  <sheetViews>
    <sheetView view="pageBreakPreview" zoomScale="85" zoomScaleNormal="85" zoomScaleSheetLayoutView="85" workbookViewId="0">
      <selection activeCell="A2" sqref="A2"/>
    </sheetView>
  </sheetViews>
  <sheetFormatPr defaultRowHeight="15" x14ac:dyDescent="0.25"/>
  <cols>
    <col min="1" max="1" width="64.140625" style="2" customWidth="1"/>
    <col min="2" max="2" width="17.42578125" style="2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TANQUE PARA TRATAMENTO DE ÁGUA DESMINERALIZADA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 t="str">
        <f>VLOOKUP($A$3,TabelaProjetos[],COLUMN(E1)+2,0)</f>
        <v>Em andamento</v>
      </c>
      <c r="H2" s="136" t="e">
        <f>VLOOKUP($H$29,Projetos!$B$10:$S$54,2,0)</f>
        <v>#N/A</v>
      </c>
    </row>
    <row r="3" spans="1:8" x14ac:dyDescent="0.25">
      <c r="A3" s="140">
        <v>43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3"/>
      <c r="D5" s="8"/>
      <c r="E5" s="9"/>
      <c r="F5" s="9"/>
      <c r="G5" s="9"/>
      <c r="H5" s="9"/>
    </row>
    <row r="6" spans="1:8" x14ac:dyDescent="0.25">
      <c r="A6" s="20"/>
      <c r="B6" s="8"/>
      <c r="C6" s="53"/>
      <c r="D6" s="8"/>
      <c r="E6" s="8"/>
      <c r="F6" s="8"/>
      <c r="G6" s="8"/>
      <c r="H6" s="8"/>
    </row>
    <row r="7" spans="1:8" x14ac:dyDescent="0.25">
      <c r="A7" s="20"/>
      <c r="B7" s="19"/>
      <c r="C7" s="53"/>
      <c r="D7" s="8"/>
      <c r="E7" s="8"/>
      <c r="F7" s="8"/>
      <c r="G7" s="8"/>
      <c r="H7" s="8"/>
    </row>
    <row r="8" spans="1:8" x14ac:dyDescent="0.25">
      <c r="A8" s="20"/>
      <c r="B8" s="8"/>
      <c r="C8" s="53"/>
      <c r="D8" s="8"/>
      <c r="E8" s="8"/>
      <c r="F8" s="8"/>
      <c r="G8" s="8"/>
      <c r="H8" s="8"/>
    </row>
    <row r="9" spans="1:8" x14ac:dyDescent="0.25">
      <c r="A9" s="20"/>
      <c r="B9" s="19"/>
      <c r="C9" s="53"/>
      <c r="D9" s="8"/>
      <c r="E9" s="8"/>
      <c r="F9" s="8"/>
      <c r="G9" s="8"/>
      <c r="H9" s="8"/>
    </row>
    <row r="10" spans="1:8" x14ac:dyDescent="0.25">
      <c r="A10" s="20"/>
      <c r="B10" s="8"/>
      <c r="C10" s="53"/>
      <c r="D10" s="8"/>
      <c r="E10" s="8"/>
      <c r="F10" s="8"/>
      <c r="G10" s="8"/>
      <c r="H10" s="8"/>
    </row>
    <row r="11" spans="1:8" x14ac:dyDescent="0.25">
      <c r="A11" s="20"/>
      <c r="B11" s="8"/>
      <c r="C11" s="53"/>
      <c r="D11" s="8"/>
      <c r="E11" s="8"/>
      <c r="F11" s="8"/>
      <c r="G11" s="8"/>
      <c r="H11" s="8"/>
    </row>
    <row r="12" spans="1:8" x14ac:dyDescent="0.25">
      <c r="A12" s="20"/>
      <c r="B12" s="8"/>
      <c r="C12" s="53"/>
      <c r="D12" s="8"/>
      <c r="E12" s="8"/>
      <c r="F12" s="8"/>
      <c r="G12" s="8"/>
      <c r="H12" s="8"/>
    </row>
    <row r="13" spans="1:8" x14ac:dyDescent="0.25">
      <c r="A13" s="20"/>
      <c r="B13" s="8"/>
      <c r="C13" s="53"/>
      <c r="D13" s="8"/>
      <c r="E13" s="8"/>
      <c r="F13" s="8"/>
      <c r="G13" s="8"/>
      <c r="H13" s="8"/>
    </row>
    <row r="14" spans="1:8" x14ac:dyDescent="0.25">
      <c r="A14" s="20"/>
      <c r="B14" s="8"/>
      <c r="C14" s="53"/>
      <c r="D14" s="8"/>
      <c r="E14" s="8"/>
      <c r="F14" s="8"/>
      <c r="G14" s="8"/>
      <c r="H14" s="8"/>
    </row>
    <row r="15" spans="1:8" x14ac:dyDescent="0.25">
      <c r="A15" s="20"/>
      <c r="B15" s="8"/>
      <c r="C15" s="53"/>
      <c r="D15" s="8"/>
      <c r="E15" s="8"/>
      <c r="F15" s="8"/>
      <c r="G15" s="8"/>
      <c r="H15" s="8"/>
    </row>
    <row r="16" spans="1:8" x14ac:dyDescent="0.25">
      <c r="A16" s="20"/>
      <c r="B16" s="8"/>
      <c r="C16" s="53"/>
      <c r="D16" s="8"/>
      <c r="E16" s="8"/>
      <c r="F16" s="8"/>
      <c r="G16" s="8"/>
      <c r="H16" s="8"/>
    </row>
    <row r="17" spans="1:8" x14ac:dyDescent="0.25">
      <c r="A17" s="20"/>
      <c r="B17" s="8"/>
      <c r="C17" s="53"/>
      <c r="D17" s="8"/>
      <c r="E17" s="8"/>
      <c r="F17" s="8"/>
      <c r="G17" s="8"/>
      <c r="H17" s="8"/>
    </row>
    <row r="18" spans="1:8" x14ac:dyDescent="0.25">
      <c r="A18" s="20"/>
      <c r="B18" s="8"/>
      <c r="C18" s="53"/>
      <c r="D18" s="8"/>
      <c r="E18" s="8"/>
      <c r="F18" s="8"/>
      <c r="G18" s="8"/>
      <c r="H18" s="8"/>
    </row>
    <row r="19" spans="1:8" x14ac:dyDescent="0.25">
      <c r="A19" s="20"/>
      <c r="B19" s="8"/>
      <c r="C19" s="53"/>
      <c r="D19" s="8"/>
      <c r="E19" s="8"/>
      <c r="F19" s="8"/>
      <c r="G19" s="8"/>
      <c r="H19" s="8"/>
    </row>
    <row r="20" spans="1:8" x14ac:dyDescent="0.25">
      <c r="A20" s="20"/>
      <c r="B20" s="8"/>
      <c r="C20" s="53"/>
      <c r="D20" s="8"/>
      <c r="E20" s="8"/>
      <c r="F20" s="8"/>
      <c r="G20" s="8"/>
      <c r="H20" s="8"/>
    </row>
    <row r="21" spans="1:8" x14ac:dyDescent="0.25">
      <c r="A21" s="20"/>
      <c r="B21" s="8"/>
      <c r="C21" s="53"/>
      <c r="D21" s="8"/>
      <c r="E21" s="8"/>
      <c r="F21" s="8"/>
      <c r="G21" s="8"/>
      <c r="H21" s="8"/>
    </row>
    <row r="22" spans="1:8" x14ac:dyDescent="0.25">
      <c r="A22" s="20"/>
      <c r="B22" s="8"/>
      <c r="C22" s="53"/>
      <c r="D22" s="8"/>
      <c r="E22" s="8"/>
      <c r="F22" s="8"/>
      <c r="G22" s="8"/>
      <c r="H22" s="8"/>
    </row>
    <row r="23" spans="1:8" x14ac:dyDescent="0.25">
      <c r="A23" s="20"/>
      <c r="B23" s="8"/>
      <c r="C23" s="53"/>
      <c r="D23" s="8"/>
      <c r="E23" s="8"/>
      <c r="F23" s="8"/>
      <c r="G23" s="8"/>
      <c r="H23" s="8"/>
    </row>
    <row r="24" spans="1:8" x14ac:dyDescent="0.25">
      <c r="A24" s="20"/>
      <c r="B24" s="8"/>
      <c r="C24" s="53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72"/>
      <c r="D25" s="18"/>
      <c r="E25" s="18"/>
      <c r="F25" s="18"/>
      <c r="G25" s="18"/>
      <c r="H25" s="18"/>
    </row>
    <row r="26" spans="1:8" ht="15.75" thickBot="1" x14ac:dyDescent="0.3">
      <c r="A26" s="61" t="s">
        <v>207</v>
      </c>
      <c r="B26" s="62"/>
      <c r="C26" s="73">
        <f>SUM($C$5:$C$25)</f>
        <v>0</v>
      </c>
      <c r="D26" s="62"/>
      <c r="E26" s="62"/>
      <c r="F26" s="62"/>
      <c r="G26" s="62"/>
      <c r="H26" s="63"/>
    </row>
    <row r="27" spans="1:8" x14ac:dyDescent="0.25">
      <c r="A27" s="13" t="s">
        <v>97</v>
      </c>
      <c r="B27" s="14"/>
      <c r="C27" s="14"/>
      <c r="D27" s="14"/>
      <c r="E27" s="14"/>
      <c r="F27" s="14"/>
      <c r="G27" s="14"/>
      <c r="H27" s="15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:H29"/>
  <sheetViews>
    <sheetView view="pageBreakPreview" topLeftCell="B1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17.42578125" style="2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EXAUSTÃO ELETROEROSÃO FERRAMENTARIA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>
        <f>VLOOKUP($A$3,TabelaProjetos[],COLUMN(D1)+2,0)</f>
        <v>0</v>
      </c>
      <c r="H2" s="136" t="e">
        <f>VLOOKUP($H$29,Projetos!$B$10:$S$54,2,0)</f>
        <v>#N/A</v>
      </c>
    </row>
    <row r="3" spans="1:8" x14ac:dyDescent="0.25">
      <c r="A3" s="140">
        <v>44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3"/>
      <c r="D5" s="8"/>
      <c r="E5" s="9"/>
      <c r="F5" s="9"/>
      <c r="G5" s="9"/>
      <c r="H5" s="9"/>
    </row>
    <row r="6" spans="1:8" x14ac:dyDescent="0.25">
      <c r="A6" s="20"/>
      <c r="B6" s="8"/>
      <c r="C6" s="53"/>
      <c r="D6" s="8"/>
      <c r="E6" s="8"/>
      <c r="F6" s="8"/>
      <c r="G6" s="8"/>
      <c r="H6" s="8"/>
    </row>
    <row r="7" spans="1:8" x14ac:dyDescent="0.25">
      <c r="A7" s="20"/>
      <c r="B7" s="19"/>
      <c r="C7" s="53"/>
      <c r="D7" s="8"/>
      <c r="E7" s="8"/>
      <c r="F7" s="8"/>
      <c r="G7" s="8"/>
      <c r="H7" s="8"/>
    </row>
    <row r="8" spans="1:8" x14ac:dyDescent="0.25">
      <c r="A8" s="20"/>
      <c r="B8" s="8"/>
      <c r="C8" s="53"/>
      <c r="D8" s="8"/>
      <c r="E8" s="8"/>
      <c r="F8" s="8"/>
      <c r="G8" s="8"/>
      <c r="H8" s="8"/>
    </row>
    <row r="9" spans="1:8" x14ac:dyDescent="0.25">
      <c r="A9" s="20"/>
      <c r="B9" s="19"/>
      <c r="C9" s="53"/>
      <c r="D9" s="8"/>
      <c r="E9" s="8"/>
      <c r="F9" s="8"/>
      <c r="G9" s="8"/>
      <c r="H9" s="8"/>
    </row>
    <row r="10" spans="1:8" x14ac:dyDescent="0.25">
      <c r="A10" s="20"/>
      <c r="B10" s="8"/>
      <c r="C10" s="53"/>
      <c r="D10" s="8"/>
      <c r="E10" s="8"/>
      <c r="F10" s="8"/>
      <c r="G10" s="8"/>
      <c r="H10" s="8"/>
    </row>
    <row r="11" spans="1:8" x14ac:dyDescent="0.25">
      <c r="A11" s="20"/>
      <c r="B11" s="8"/>
      <c r="C11" s="53"/>
      <c r="D11" s="8"/>
      <c r="E11" s="8"/>
      <c r="F11" s="8"/>
      <c r="G11" s="8"/>
      <c r="H11" s="8"/>
    </row>
    <row r="12" spans="1:8" x14ac:dyDescent="0.25">
      <c r="A12" s="20"/>
      <c r="B12" s="8"/>
      <c r="C12" s="53"/>
      <c r="D12" s="8"/>
      <c r="E12" s="8"/>
      <c r="F12" s="8"/>
      <c r="G12" s="8"/>
      <c r="H12" s="8"/>
    </row>
    <row r="13" spans="1:8" x14ac:dyDescent="0.25">
      <c r="A13" s="20"/>
      <c r="B13" s="8"/>
      <c r="C13" s="53"/>
      <c r="D13" s="8"/>
      <c r="E13" s="8"/>
      <c r="F13" s="8"/>
      <c r="G13" s="8"/>
      <c r="H13" s="8"/>
    </row>
    <row r="14" spans="1:8" x14ac:dyDescent="0.25">
      <c r="A14" s="20"/>
      <c r="B14" s="8"/>
      <c r="C14" s="53"/>
      <c r="D14" s="8"/>
      <c r="E14" s="8"/>
      <c r="F14" s="8"/>
      <c r="G14" s="8"/>
      <c r="H14" s="8"/>
    </row>
    <row r="15" spans="1:8" x14ac:dyDescent="0.25">
      <c r="A15" s="20"/>
      <c r="B15" s="8"/>
      <c r="C15" s="53"/>
      <c r="D15" s="8"/>
      <c r="E15" s="8"/>
      <c r="F15" s="8"/>
      <c r="G15" s="8"/>
      <c r="H15" s="8"/>
    </row>
    <row r="16" spans="1:8" x14ac:dyDescent="0.25">
      <c r="A16" s="20"/>
      <c r="B16" s="8"/>
      <c r="C16" s="53"/>
      <c r="D16" s="8"/>
      <c r="E16" s="8"/>
      <c r="F16" s="8"/>
      <c r="G16" s="8"/>
      <c r="H16" s="8"/>
    </row>
    <row r="17" spans="1:8" x14ac:dyDescent="0.25">
      <c r="A17" s="20"/>
      <c r="B17" s="8"/>
      <c r="C17" s="53"/>
      <c r="D17" s="8"/>
      <c r="E17" s="8"/>
      <c r="F17" s="8"/>
      <c r="G17" s="8"/>
      <c r="H17" s="8"/>
    </row>
    <row r="18" spans="1:8" x14ac:dyDescent="0.25">
      <c r="A18" s="20"/>
      <c r="B18" s="8"/>
      <c r="C18" s="53"/>
      <c r="D18" s="8"/>
      <c r="E18" s="8"/>
      <c r="F18" s="8"/>
      <c r="G18" s="8"/>
      <c r="H18" s="8"/>
    </row>
    <row r="19" spans="1:8" x14ac:dyDescent="0.25">
      <c r="A19" s="20"/>
      <c r="B19" s="8"/>
      <c r="C19" s="53"/>
      <c r="D19" s="8"/>
      <c r="E19" s="8"/>
      <c r="F19" s="8"/>
      <c r="G19" s="8"/>
      <c r="H19" s="8"/>
    </row>
    <row r="20" spans="1:8" x14ac:dyDescent="0.25">
      <c r="A20" s="20"/>
      <c r="B20" s="8"/>
      <c r="C20" s="53"/>
      <c r="D20" s="8"/>
      <c r="E20" s="8"/>
      <c r="F20" s="8"/>
      <c r="G20" s="8"/>
      <c r="H20" s="8"/>
    </row>
    <row r="21" spans="1:8" x14ac:dyDescent="0.25">
      <c r="A21" s="20"/>
      <c r="B21" s="8"/>
      <c r="C21" s="53"/>
      <c r="D21" s="8"/>
      <c r="E21" s="8"/>
      <c r="F21" s="8"/>
      <c r="G21" s="8"/>
      <c r="H21" s="8"/>
    </row>
    <row r="22" spans="1:8" x14ac:dyDescent="0.25">
      <c r="A22" s="20"/>
      <c r="B22" s="8"/>
      <c r="C22" s="53"/>
      <c r="D22" s="8"/>
      <c r="E22" s="8"/>
      <c r="F22" s="8"/>
      <c r="G22" s="8"/>
      <c r="H22" s="8"/>
    </row>
    <row r="23" spans="1:8" x14ac:dyDescent="0.25">
      <c r="A23" s="20"/>
      <c r="B23" s="8"/>
      <c r="C23" s="53"/>
      <c r="D23" s="8"/>
      <c r="E23" s="8"/>
      <c r="F23" s="8"/>
      <c r="G23" s="8"/>
      <c r="H23" s="8"/>
    </row>
    <row r="24" spans="1:8" x14ac:dyDescent="0.25">
      <c r="A24" s="20"/>
      <c r="B24" s="8"/>
      <c r="C24" s="53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72"/>
      <c r="D25" s="18"/>
      <c r="E25" s="18"/>
      <c r="F25" s="18"/>
      <c r="G25" s="18"/>
      <c r="H25" s="18"/>
    </row>
    <row r="26" spans="1:8" ht="15.75" thickBot="1" x14ac:dyDescent="0.3">
      <c r="A26" s="61" t="s">
        <v>207</v>
      </c>
      <c r="B26" s="62"/>
      <c r="C26" s="73">
        <f>SUM($C$5:$C$25)</f>
        <v>0</v>
      </c>
      <c r="D26" s="62"/>
      <c r="E26" s="62"/>
      <c r="F26" s="62"/>
      <c r="G26" s="62"/>
      <c r="H26" s="63"/>
    </row>
    <row r="27" spans="1:8" x14ac:dyDescent="0.25">
      <c r="A27" s="13" t="s">
        <v>97</v>
      </c>
      <c r="B27" s="14"/>
      <c r="C27" s="14"/>
      <c r="D27" s="14"/>
      <c r="E27" s="14"/>
      <c r="F27" s="14"/>
      <c r="G27" s="14"/>
      <c r="H27" s="15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:H29"/>
  <sheetViews>
    <sheetView view="pageBreakPreview" zoomScale="85" zoomScaleNormal="85" zoomScaleSheetLayoutView="85" workbookViewId="0">
      <selection activeCell="A5" sqref="A5"/>
    </sheetView>
  </sheetViews>
  <sheetFormatPr defaultRowHeight="15" x14ac:dyDescent="0.25"/>
  <cols>
    <col min="1" max="1" width="64.140625" style="2" customWidth="1"/>
    <col min="2" max="2" width="17.42578125" style="2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str">
        <f>VLOOKUP($A$3,TabelaProjetos[],COLUMN(A1)+2,0)</f>
        <v>ESTOQUE E MOVIMENTAÇÃO DE BARRAS</v>
      </c>
      <c r="B2" s="135" t="str">
        <f>VLOOKUP($A$3,TabelaProjetos[],COLUMN(B1)+2,0)</f>
        <v>Gross</v>
      </c>
      <c r="C2" s="144"/>
      <c r="D2" s="136" t="e">
        <f>VLOOKUP($H$29,Projetos!$B$10:$S$54,2,0)</f>
        <v>#N/A</v>
      </c>
      <c r="E2" s="135" t="str">
        <f>VLOOKUP($A$3,TabelaProjetos[],COLUMN(C1)+2,0)</f>
        <v>Eng. Industrial</v>
      </c>
      <c r="F2" s="136" t="e">
        <f>VLOOKUP($H$29,Projetos!$B$10:$S$54,2,0)</f>
        <v>#N/A</v>
      </c>
      <c r="G2" s="135">
        <f>VLOOKUP($A$3,TabelaProjetos[],COLUMN(D1)+2,0)</f>
        <v>0</v>
      </c>
      <c r="H2" s="136" t="e">
        <f>VLOOKUP($H$29,Projetos!$B$10:$S$54,2,0)</f>
        <v>#N/A</v>
      </c>
    </row>
    <row r="3" spans="1:8" x14ac:dyDescent="0.25">
      <c r="A3" s="140">
        <v>45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3"/>
      <c r="D5" s="8"/>
      <c r="E5" s="9"/>
      <c r="F5" s="9"/>
      <c r="G5" s="9"/>
      <c r="H5" s="9"/>
    </row>
    <row r="6" spans="1:8" x14ac:dyDescent="0.25">
      <c r="A6" s="20"/>
      <c r="B6" s="8"/>
      <c r="C6" s="53"/>
      <c r="D6" s="8"/>
      <c r="E6" s="8"/>
      <c r="F6" s="8"/>
      <c r="G6" s="8"/>
      <c r="H6" s="8"/>
    </row>
    <row r="7" spans="1:8" x14ac:dyDescent="0.25">
      <c r="A7" s="20"/>
      <c r="B7" s="19"/>
      <c r="C7" s="53"/>
      <c r="D7" s="8"/>
      <c r="E7" s="8"/>
      <c r="F7" s="8"/>
      <c r="G7" s="8"/>
      <c r="H7" s="8"/>
    </row>
    <row r="8" spans="1:8" x14ac:dyDescent="0.25">
      <c r="A8" s="20"/>
      <c r="B8" s="8"/>
      <c r="C8" s="53"/>
      <c r="D8" s="8"/>
      <c r="E8" s="8"/>
      <c r="F8" s="8"/>
      <c r="G8" s="8"/>
      <c r="H8" s="8"/>
    </row>
    <row r="9" spans="1:8" x14ac:dyDescent="0.25">
      <c r="A9" s="20"/>
      <c r="B9" s="19"/>
      <c r="C9" s="53"/>
      <c r="D9" s="8"/>
      <c r="E9" s="8"/>
      <c r="F9" s="8"/>
      <c r="G9" s="8"/>
      <c r="H9" s="8"/>
    </row>
    <row r="10" spans="1:8" x14ac:dyDescent="0.25">
      <c r="A10" s="20"/>
      <c r="B10" s="8"/>
      <c r="C10" s="53"/>
      <c r="D10" s="8"/>
      <c r="E10" s="8"/>
      <c r="F10" s="8"/>
      <c r="G10" s="8"/>
      <c r="H10" s="8"/>
    </row>
    <row r="11" spans="1:8" x14ac:dyDescent="0.25">
      <c r="A11" s="20"/>
      <c r="B11" s="8"/>
      <c r="C11" s="53"/>
      <c r="D11" s="8"/>
      <c r="E11" s="8"/>
      <c r="F11" s="8"/>
      <c r="G11" s="8"/>
      <c r="H11" s="8"/>
    </row>
    <row r="12" spans="1:8" x14ac:dyDescent="0.25">
      <c r="A12" s="20"/>
      <c r="B12" s="8"/>
      <c r="C12" s="53"/>
      <c r="D12" s="8"/>
      <c r="E12" s="8"/>
      <c r="F12" s="8"/>
      <c r="G12" s="8"/>
      <c r="H12" s="8"/>
    </row>
    <row r="13" spans="1:8" x14ac:dyDescent="0.25">
      <c r="A13" s="20"/>
      <c r="B13" s="8"/>
      <c r="C13" s="53"/>
      <c r="D13" s="8"/>
      <c r="E13" s="8"/>
      <c r="F13" s="8"/>
      <c r="G13" s="8"/>
      <c r="H13" s="8"/>
    </row>
    <row r="14" spans="1:8" x14ac:dyDescent="0.25">
      <c r="A14" s="20"/>
      <c r="B14" s="8"/>
      <c r="C14" s="53"/>
      <c r="D14" s="8"/>
      <c r="E14" s="8"/>
      <c r="F14" s="8"/>
      <c r="G14" s="8"/>
      <c r="H14" s="8"/>
    </row>
    <row r="15" spans="1:8" x14ac:dyDescent="0.25">
      <c r="A15" s="20"/>
      <c r="B15" s="8"/>
      <c r="C15" s="53"/>
      <c r="D15" s="8"/>
      <c r="E15" s="8"/>
      <c r="F15" s="8"/>
      <c r="G15" s="8"/>
      <c r="H15" s="8"/>
    </row>
    <row r="16" spans="1:8" x14ac:dyDescent="0.25">
      <c r="A16" s="20"/>
      <c r="B16" s="8"/>
      <c r="C16" s="53"/>
      <c r="D16" s="8"/>
      <c r="E16" s="8"/>
      <c r="F16" s="8"/>
      <c r="G16" s="8"/>
      <c r="H16" s="8"/>
    </row>
    <row r="17" spans="1:8" x14ac:dyDescent="0.25">
      <c r="A17" s="20"/>
      <c r="B17" s="8"/>
      <c r="C17" s="53"/>
      <c r="D17" s="8"/>
      <c r="E17" s="8"/>
      <c r="F17" s="8"/>
      <c r="G17" s="8"/>
      <c r="H17" s="8"/>
    </row>
    <row r="18" spans="1:8" x14ac:dyDescent="0.25">
      <c r="A18" s="20"/>
      <c r="B18" s="8"/>
      <c r="C18" s="53"/>
      <c r="D18" s="8"/>
      <c r="E18" s="8"/>
      <c r="F18" s="8"/>
      <c r="G18" s="8"/>
      <c r="H18" s="8"/>
    </row>
    <row r="19" spans="1:8" x14ac:dyDescent="0.25">
      <c r="A19" s="20"/>
      <c r="B19" s="8"/>
      <c r="C19" s="53"/>
      <c r="D19" s="8"/>
      <c r="E19" s="8"/>
      <c r="F19" s="8"/>
      <c r="G19" s="8"/>
      <c r="H19" s="8"/>
    </row>
    <row r="20" spans="1:8" x14ac:dyDescent="0.25">
      <c r="A20" s="20"/>
      <c r="B20" s="8"/>
      <c r="C20" s="53"/>
      <c r="D20" s="8"/>
      <c r="E20" s="8"/>
      <c r="F20" s="8"/>
      <c r="G20" s="8"/>
      <c r="H20" s="8"/>
    </row>
    <row r="21" spans="1:8" x14ac:dyDescent="0.25">
      <c r="A21" s="20"/>
      <c r="B21" s="8"/>
      <c r="C21" s="53"/>
      <c r="D21" s="8"/>
      <c r="E21" s="8"/>
      <c r="F21" s="8"/>
      <c r="G21" s="8"/>
      <c r="H21" s="8"/>
    </row>
    <row r="22" spans="1:8" x14ac:dyDescent="0.25">
      <c r="A22" s="20"/>
      <c r="B22" s="8"/>
      <c r="C22" s="53"/>
      <c r="D22" s="8"/>
      <c r="E22" s="8"/>
      <c r="F22" s="8"/>
      <c r="G22" s="8"/>
      <c r="H22" s="8"/>
    </row>
    <row r="23" spans="1:8" x14ac:dyDescent="0.25">
      <c r="A23" s="20"/>
      <c r="B23" s="8"/>
      <c r="C23" s="53"/>
      <c r="D23" s="8"/>
      <c r="E23" s="8"/>
      <c r="F23" s="8"/>
      <c r="G23" s="8"/>
      <c r="H23" s="8"/>
    </row>
    <row r="24" spans="1:8" x14ac:dyDescent="0.25">
      <c r="A24" s="20"/>
      <c r="B24" s="8"/>
      <c r="C24" s="53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72"/>
      <c r="D25" s="18"/>
      <c r="E25" s="18"/>
      <c r="F25" s="18"/>
      <c r="G25" s="18"/>
      <c r="H25" s="18"/>
    </row>
    <row r="26" spans="1:8" ht="15.75" thickBot="1" x14ac:dyDescent="0.3">
      <c r="A26" s="61" t="s">
        <v>207</v>
      </c>
      <c r="B26" s="62"/>
      <c r="C26" s="73">
        <f>SUM($C$5:$C$25)</f>
        <v>0</v>
      </c>
      <c r="D26" s="62"/>
      <c r="E26" s="62"/>
      <c r="F26" s="62"/>
      <c r="G26" s="62"/>
      <c r="H26" s="63"/>
    </row>
    <row r="27" spans="1:8" x14ac:dyDescent="0.25">
      <c r="A27" s="13" t="s">
        <v>97</v>
      </c>
      <c r="B27" s="14"/>
      <c r="C27" s="14"/>
      <c r="D27" s="14"/>
      <c r="E27" s="14"/>
      <c r="F27" s="14"/>
      <c r="G27" s="14"/>
      <c r="H27" s="15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3:H3"/>
    <mergeCell ref="A28:H29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S54"/>
  <sheetViews>
    <sheetView tabSelected="1" zoomScale="70" zoomScaleNormal="70" workbookViewId="0">
      <pane ySplit="9" topLeftCell="A10" activePane="bottomLeft" state="frozen"/>
      <selection activeCell="G2" sqref="G2:H2"/>
      <selection pane="bottomLeft" activeCell="E16" sqref="E16"/>
    </sheetView>
  </sheetViews>
  <sheetFormatPr defaultRowHeight="15.75" x14ac:dyDescent="0.25"/>
  <cols>
    <col min="1" max="1" width="8.5703125" style="34" customWidth="1"/>
    <col min="2" max="2" width="13.28515625" style="27" customWidth="1"/>
    <col min="3" max="3" width="67.7109375" style="31" bestFit="1" customWidth="1"/>
    <col min="4" max="4" width="21.7109375" style="37" bestFit="1" customWidth="1"/>
    <col min="5" max="5" width="36.28515625" style="39" bestFit="1" customWidth="1"/>
    <col min="6" max="6" width="26.85546875" style="26" hidden="1" customWidth="1"/>
    <col min="7" max="7" width="26.85546875" style="26" customWidth="1"/>
    <col min="8" max="8" width="17.28515625" style="26" customWidth="1"/>
    <col min="9" max="13" width="26.85546875" style="26" customWidth="1"/>
    <col min="14" max="14" width="28.7109375" style="26" customWidth="1"/>
    <col min="15" max="15" width="22.140625" style="26" customWidth="1"/>
    <col min="16" max="16" width="31.5703125" style="26" customWidth="1"/>
    <col min="17" max="17" width="31.7109375" style="26" customWidth="1"/>
    <col min="18" max="18" width="21.85546875" style="26" customWidth="1"/>
    <col min="19" max="19" width="45.5703125" style="26" customWidth="1"/>
    <col min="20" max="16384" width="9.140625" style="23"/>
  </cols>
  <sheetData>
    <row r="1" spans="1:19" x14ac:dyDescent="0.25">
      <c r="A1" s="32"/>
      <c r="B1" s="24"/>
      <c r="C1" s="30"/>
      <c r="D1" s="36"/>
      <c r="E1" s="38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</row>
    <row r="2" spans="1:19" x14ac:dyDescent="0.25">
      <c r="A2" s="32"/>
      <c r="B2" s="24"/>
      <c r="C2" s="30"/>
      <c r="D2" s="36"/>
      <c r="E2" s="38"/>
      <c r="F2" s="23"/>
      <c r="G2" s="28" t="s">
        <v>95</v>
      </c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</row>
    <row r="3" spans="1:19" x14ac:dyDescent="0.25">
      <c r="A3" s="32"/>
      <c r="B3" s="24"/>
      <c r="C3" s="30"/>
      <c r="D3" s="36"/>
      <c r="E3" s="38"/>
      <c r="F3" s="23"/>
      <c r="G3" s="23" t="s">
        <v>105</v>
      </c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</row>
    <row r="4" spans="1:19" x14ac:dyDescent="0.25">
      <c r="A4" s="32"/>
      <c r="B4" s="24"/>
      <c r="C4" s="30"/>
      <c r="D4" s="36"/>
      <c r="E4" s="38"/>
      <c r="F4" s="23"/>
      <c r="G4" s="23" t="s">
        <v>106</v>
      </c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</row>
    <row r="5" spans="1:19" x14ac:dyDescent="0.25">
      <c r="A5" s="32"/>
      <c r="B5" s="24"/>
      <c r="C5" s="30"/>
      <c r="D5" s="36"/>
      <c r="E5" s="38"/>
      <c r="F5" s="23"/>
      <c r="G5" s="26" t="s">
        <v>107</v>
      </c>
      <c r="S5" s="23"/>
    </row>
    <row r="6" spans="1:19" x14ac:dyDescent="0.25">
      <c r="A6" s="32"/>
      <c r="B6" s="24"/>
      <c r="C6" s="49"/>
      <c r="D6" s="36"/>
      <c r="E6" s="38"/>
      <c r="F6" s="23"/>
      <c r="G6" s="23" t="s">
        <v>108</v>
      </c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</row>
    <row r="7" spans="1:19" ht="18.75" x14ac:dyDescent="0.3">
      <c r="A7" s="32"/>
      <c r="B7" s="24"/>
      <c r="C7" s="30"/>
      <c r="D7" s="36"/>
      <c r="E7" s="38"/>
      <c r="F7" s="23"/>
      <c r="G7" s="23"/>
      <c r="H7" s="23"/>
      <c r="I7" s="23"/>
      <c r="J7" s="23"/>
      <c r="K7" s="23"/>
      <c r="L7" s="145" t="s">
        <v>159</v>
      </c>
      <c r="M7" s="145"/>
      <c r="N7" s="145"/>
      <c r="O7" s="145"/>
      <c r="P7" s="145"/>
      <c r="Q7" s="145"/>
      <c r="R7" s="145"/>
      <c r="S7" s="23"/>
    </row>
    <row r="8" spans="1:19" ht="7.5" customHeight="1" x14ac:dyDescent="0.25">
      <c r="A8" s="32"/>
      <c r="B8" s="24"/>
      <c r="C8" s="30"/>
      <c r="D8" s="36"/>
      <c r="E8" s="38"/>
      <c r="F8" s="23"/>
      <c r="G8" s="23"/>
      <c r="H8" s="23"/>
      <c r="I8" s="23"/>
      <c r="J8" s="23"/>
      <c r="K8" s="23"/>
      <c r="L8" s="48"/>
      <c r="M8" s="23"/>
      <c r="N8" s="23"/>
      <c r="O8" s="23"/>
      <c r="P8" s="23"/>
      <c r="Q8" s="23"/>
      <c r="R8" s="47"/>
      <c r="S8" s="23"/>
    </row>
    <row r="9" spans="1:19" ht="31.5" customHeight="1" x14ac:dyDescent="0.25">
      <c r="A9" s="33" t="s">
        <v>96</v>
      </c>
      <c r="B9" s="25" t="s">
        <v>0</v>
      </c>
      <c r="C9" s="35" t="s">
        <v>208</v>
      </c>
      <c r="D9" s="25" t="s">
        <v>1</v>
      </c>
      <c r="E9" s="29" t="s">
        <v>2</v>
      </c>
      <c r="F9" s="25" t="s">
        <v>75</v>
      </c>
      <c r="G9" s="25" t="s">
        <v>95</v>
      </c>
      <c r="H9" s="25" t="s">
        <v>190</v>
      </c>
      <c r="I9" s="25" t="s">
        <v>152</v>
      </c>
      <c r="J9" s="25" t="s">
        <v>154</v>
      </c>
      <c r="K9" s="25" t="s">
        <v>111</v>
      </c>
      <c r="L9" s="29" t="s">
        <v>112</v>
      </c>
      <c r="M9" s="29" t="s">
        <v>132</v>
      </c>
      <c r="N9" s="29" t="s">
        <v>155</v>
      </c>
      <c r="O9" s="29" t="s">
        <v>156</v>
      </c>
      <c r="P9" s="29" t="s">
        <v>157</v>
      </c>
      <c r="Q9" s="29" t="s">
        <v>158</v>
      </c>
      <c r="R9" s="29" t="s">
        <v>189</v>
      </c>
      <c r="S9" s="29" t="s">
        <v>3</v>
      </c>
    </row>
    <row r="10" spans="1:19" x14ac:dyDescent="0.25">
      <c r="A10" s="75">
        <v>42</v>
      </c>
      <c r="B10" s="76">
        <v>1</v>
      </c>
      <c r="C10" s="77" t="s">
        <v>149</v>
      </c>
      <c r="D10" s="78" t="s">
        <v>53</v>
      </c>
      <c r="E10" s="79" t="s">
        <v>212</v>
      </c>
      <c r="F10" s="78"/>
      <c r="G10" s="78" t="s">
        <v>105</v>
      </c>
      <c r="H10" s="74">
        <v>3700</v>
      </c>
      <c r="I10" s="80"/>
      <c r="J10" s="80"/>
      <c r="K10" s="80"/>
      <c r="L10" s="80"/>
      <c r="M10" s="80"/>
      <c r="N10" s="80"/>
      <c r="O10" s="80"/>
      <c r="P10" s="80"/>
      <c r="Q10" s="80"/>
      <c r="R10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0" s="80"/>
    </row>
    <row r="11" spans="1:19" x14ac:dyDescent="0.25">
      <c r="A11" s="75">
        <v>19</v>
      </c>
      <c r="B11" s="76">
        <v>2</v>
      </c>
      <c r="C11" s="77" t="s">
        <v>48</v>
      </c>
      <c r="D11" s="78" t="s">
        <v>211</v>
      </c>
      <c r="E11" s="79" t="s">
        <v>40</v>
      </c>
      <c r="F11" s="78" t="s">
        <v>78</v>
      </c>
      <c r="G11" s="78" t="s">
        <v>105</v>
      </c>
      <c r="H11" s="74"/>
      <c r="I11" s="80"/>
      <c r="J11" s="80"/>
      <c r="K11" s="80"/>
      <c r="L11" s="80"/>
      <c r="M11" s="80"/>
      <c r="N11" s="80"/>
      <c r="O11" s="80"/>
      <c r="P11" s="80"/>
      <c r="Q11" s="80"/>
      <c r="R11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1" s="80"/>
    </row>
    <row r="12" spans="1:19" x14ac:dyDescent="0.25">
      <c r="A12" s="75">
        <v>22</v>
      </c>
      <c r="B12" s="81">
        <v>3</v>
      </c>
      <c r="C12" s="82" t="s">
        <v>142</v>
      </c>
      <c r="D12" s="106"/>
      <c r="E12" s="83"/>
      <c r="F12" s="84" t="s">
        <v>78</v>
      </c>
      <c r="G12" s="84" t="s">
        <v>105</v>
      </c>
      <c r="H12" s="74">
        <v>20350</v>
      </c>
      <c r="I12" s="80"/>
      <c r="J12" s="80"/>
      <c r="K12" s="80"/>
      <c r="L12" s="80"/>
      <c r="M12" s="80"/>
      <c r="N12" s="80"/>
      <c r="O12" s="80"/>
      <c r="P12" s="80"/>
      <c r="Q12" s="80"/>
      <c r="R12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2" s="80"/>
    </row>
    <row r="13" spans="1:19" ht="15" customHeight="1" x14ac:dyDescent="0.25">
      <c r="A13" s="75">
        <v>27</v>
      </c>
      <c r="B13" s="85">
        <v>4</v>
      </c>
      <c r="C13" s="105" t="s">
        <v>65</v>
      </c>
      <c r="D13" s="86"/>
      <c r="E13" s="117"/>
      <c r="F13" s="84" t="s">
        <v>78</v>
      </c>
      <c r="G13" s="84" t="s">
        <v>105</v>
      </c>
      <c r="H13" s="74">
        <v>206679.61</v>
      </c>
      <c r="I13" s="80"/>
      <c r="J13" s="80"/>
      <c r="K13" s="80"/>
      <c r="L13" s="80"/>
      <c r="M13" s="80"/>
      <c r="N13" s="80"/>
      <c r="O13" s="80"/>
      <c r="P13" s="80"/>
      <c r="Q13" s="80"/>
      <c r="R13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3" s="80"/>
    </row>
    <row r="14" spans="1:19" x14ac:dyDescent="0.25">
      <c r="A14" s="88">
        <v>31</v>
      </c>
      <c r="B14" s="89">
        <v>5</v>
      </c>
      <c r="C14" s="90" t="s">
        <v>129</v>
      </c>
      <c r="D14" s="116" t="s">
        <v>53</v>
      </c>
      <c r="E14" s="92" t="s">
        <v>113</v>
      </c>
      <c r="F14" s="93"/>
      <c r="G14" s="84" t="s">
        <v>105</v>
      </c>
      <c r="H14" s="94"/>
      <c r="I14" s="93"/>
      <c r="J14" s="93"/>
      <c r="K14" s="93"/>
      <c r="L14" s="93"/>
      <c r="M14" s="93"/>
      <c r="N14" s="93"/>
      <c r="O14" s="93"/>
      <c r="P14" s="93"/>
      <c r="Q14" s="93"/>
      <c r="R14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4" s="93"/>
    </row>
    <row r="15" spans="1:19" x14ac:dyDescent="0.25">
      <c r="A15" s="75">
        <v>34</v>
      </c>
      <c r="B15" s="76">
        <v>6</v>
      </c>
      <c r="C15" s="90" t="s">
        <v>147</v>
      </c>
      <c r="D15" s="95" t="s">
        <v>53</v>
      </c>
      <c r="E15" s="87" t="s">
        <v>113</v>
      </c>
      <c r="F15" s="80"/>
      <c r="G15" s="84" t="s">
        <v>105</v>
      </c>
      <c r="H15" s="74"/>
      <c r="I15" s="80"/>
      <c r="J15" s="80"/>
      <c r="K15" s="80"/>
      <c r="L15" s="80"/>
      <c r="M15" s="80"/>
      <c r="N15" s="80"/>
      <c r="O15" s="80"/>
      <c r="P15" s="80"/>
      <c r="Q15" s="80"/>
      <c r="R15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5" s="80"/>
    </row>
    <row r="16" spans="1:19" x14ac:dyDescent="0.25">
      <c r="A16" s="75">
        <v>35</v>
      </c>
      <c r="B16" s="76">
        <v>7</v>
      </c>
      <c r="C16" s="90" t="s">
        <v>148</v>
      </c>
      <c r="D16" s="95" t="s">
        <v>53</v>
      </c>
      <c r="E16" s="87" t="s">
        <v>113</v>
      </c>
      <c r="F16" s="80"/>
      <c r="G16" s="84" t="s">
        <v>105</v>
      </c>
      <c r="H16" s="74"/>
      <c r="I16" s="80"/>
      <c r="J16" s="80"/>
      <c r="K16" s="80"/>
      <c r="L16" s="80"/>
      <c r="M16" s="80"/>
      <c r="N16" s="80"/>
      <c r="O16" s="80"/>
      <c r="P16" s="80"/>
      <c r="Q16" s="80"/>
      <c r="R16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6" s="80"/>
    </row>
    <row r="17" spans="1:19" x14ac:dyDescent="0.25">
      <c r="A17" s="75">
        <v>9</v>
      </c>
      <c r="B17" s="76">
        <v>8</v>
      </c>
      <c r="C17" s="77" t="s">
        <v>131</v>
      </c>
      <c r="D17" s="78"/>
      <c r="E17" s="79"/>
      <c r="F17" s="78" t="s">
        <v>78</v>
      </c>
      <c r="G17" s="78" t="s">
        <v>105</v>
      </c>
      <c r="H17" s="96"/>
      <c r="I17" s="78"/>
      <c r="J17" s="78"/>
      <c r="K17" s="78"/>
      <c r="L17" s="78"/>
      <c r="M17" s="78"/>
      <c r="N17" s="78"/>
      <c r="O17" s="78"/>
      <c r="P17" s="78"/>
      <c r="Q17" s="78"/>
      <c r="R17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7" s="78"/>
    </row>
    <row r="18" spans="1:19" x14ac:dyDescent="0.25">
      <c r="A18" s="75">
        <v>18</v>
      </c>
      <c r="B18" s="76">
        <v>9</v>
      </c>
      <c r="C18" s="77" t="s">
        <v>130</v>
      </c>
      <c r="D18" s="78" t="s">
        <v>47</v>
      </c>
      <c r="E18" s="79" t="s">
        <v>40</v>
      </c>
      <c r="F18" s="78" t="s">
        <v>78</v>
      </c>
      <c r="G18" s="78" t="s">
        <v>105</v>
      </c>
      <c r="H18" s="74">
        <v>16380</v>
      </c>
      <c r="I18" s="80"/>
      <c r="J18" s="80"/>
      <c r="K18" s="80"/>
      <c r="L18" s="80"/>
      <c r="M18" s="80"/>
      <c r="N18" s="80"/>
      <c r="O18" s="80"/>
      <c r="P18" s="80"/>
      <c r="Q18" s="80"/>
      <c r="R18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8" s="80"/>
    </row>
    <row r="19" spans="1:19" x14ac:dyDescent="0.25">
      <c r="A19" s="75">
        <v>39</v>
      </c>
      <c r="B19" s="76">
        <v>10</v>
      </c>
      <c r="C19" s="90" t="s">
        <v>138</v>
      </c>
      <c r="D19" s="95" t="s">
        <v>53</v>
      </c>
      <c r="E19" s="87" t="s">
        <v>113</v>
      </c>
      <c r="F19" s="80"/>
      <c r="G19" s="84" t="s">
        <v>105</v>
      </c>
      <c r="H19" s="74"/>
      <c r="I19" s="80"/>
      <c r="J19" s="80"/>
      <c r="K19" s="80"/>
      <c r="L19" s="80"/>
      <c r="M19" s="80"/>
      <c r="N19" s="80"/>
      <c r="O19" s="80"/>
      <c r="P19" s="80"/>
      <c r="Q19" s="80"/>
      <c r="R19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19" s="80"/>
    </row>
    <row r="20" spans="1:19" x14ac:dyDescent="0.25">
      <c r="A20" s="75">
        <v>40</v>
      </c>
      <c r="B20" s="76">
        <v>11</v>
      </c>
      <c r="C20" s="90" t="s">
        <v>140</v>
      </c>
      <c r="D20" s="86" t="s">
        <v>53</v>
      </c>
      <c r="E20" s="97" t="s">
        <v>141</v>
      </c>
      <c r="F20" s="98"/>
      <c r="G20" s="78" t="s">
        <v>105</v>
      </c>
      <c r="H20" s="74">
        <v>21202.5</v>
      </c>
      <c r="I20" s="80"/>
      <c r="J20" s="80"/>
      <c r="K20" s="80"/>
      <c r="L20" s="80"/>
      <c r="M20" s="80"/>
      <c r="N20" s="80"/>
      <c r="O20" s="80"/>
      <c r="P20" s="80"/>
      <c r="Q20" s="80"/>
      <c r="R20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0" s="80"/>
    </row>
    <row r="21" spans="1:19" x14ac:dyDescent="0.25">
      <c r="A21" s="75">
        <v>41</v>
      </c>
      <c r="B21" s="76">
        <v>12</v>
      </c>
      <c r="C21" s="90" t="s">
        <v>144</v>
      </c>
      <c r="D21" s="95" t="s">
        <v>53</v>
      </c>
      <c r="E21" s="87" t="s">
        <v>113</v>
      </c>
      <c r="F21" s="80"/>
      <c r="G21" s="84" t="s">
        <v>105</v>
      </c>
      <c r="H21" s="74">
        <v>15840</v>
      </c>
      <c r="I21" s="80"/>
      <c r="J21" s="80"/>
      <c r="K21" s="80"/>
      <c r="L21" s="80"/>
      <c r="M21" s="80"/>
      <c r="N21" s="80"/>
      <c r="O21" s="80"/>
      <c r="P21" s="80"/>
      <c r="Q21" s="80"/>
      <c r="R21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1" s="80"/>
    </row>
    <row r="22" spans="1:19" x14ac:dyDescent="0.25">
      <c r="A22" s="75">
        <v>37</v>
      </c>
      <c r="B22" s="76">
        <v>13</v>
      </c>
      <c r="C22" s="90" t="s">
        <v>136</v>
      </c>
      <c r="D22" s="95" t="s">
        <v>53</v>
      </c>
      <c r="E22" s="87" t="s">
        <v>113</v>
      </c>
      <c r="F22" s="80"/>
      <c r="G22" s="84" t="s">
        <v>105</v>
      </c>
      <c r="H22" s="74"/>
      <c r="I22" s="80"/>
      <c r="J22" s="80"/>
      <c r="K22" s="80"/>
      <c r="L22" s="80"/>
      <c r="M22" s="80"/>
      <c r="N22" s="80"/>
      <c r="O22" s="80"/>
      <c r="P22" s="80"/>
      <c r="Q22" s="80"/>
      <c r="R22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2" s="80"/>
    </row>
    <row r="23" spans="1:19" x14ac:dyDescent="0.25">
      <c r="A23" s="75">
        <v>1</v>
      </c>
      <c r="B23" s="76">
        <v>14</v>
      </c>
      <c r="C23" s="77" t="s">
        <v>114</v>
      </c>
      <c r="D23" s="78" t="s">
        <v>4</v>
      </c>
      <c r="E23" s="79" t="s">
        <v>5</v>
      </c>
      <c r="F23" s="78" t="s">
        <v>76</v>
      </c>
      <c r="G23" s="78" t="s">
        <v>105</v>
      </c>
      <c r="H23" s="96"/>
      <c r="I23" s="78"/>
      <c r="J23" s="78"/>
      <c r="K23" s="78"/>
      <c r="L23" s="78"/>
      <c r="M23" s="78"/>
      <c r="N23" s="78"/>
      <c r="O23" s="78"/>
      <c r="P23" s="78"/>
      <c r="Q23" s="78"/>
      <c r="R23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3" s="78"/>
    </row>
    <row r="24" spans="1:19" ht="31.5" x14ac:dyDescent="0.25">
      <c r="A24" s="75">
        <v>4</v>
      </c>
      <c r="B24" s="99">
        <v>15</v>
      </c>
      <c r="C24" s="77" t="s">
        <v>116</v>
      </c>
      <c r="D24" s="78" t="s">
        <v>4</v>
      </c>
      <c r="E24" s="79" t="s">
        <v>10</v>
      </c>
      <c r="F24" s="79" t="s">
        <v>77</v>
      </c>
      <c r="G24" s="79" t="s">
        <v>105</v>
      </c>
      <c r="H24" s="96"/>
      <c r="I24" s="78"/>
      <c r="J24" s="78"/>
      <c r="K24" s="78"/>
      <c r="L24" s="78"/>
      <c r="M24" s="78"/>
      <c r="N24" s="78"/>
      <c r="O24" s="78"/>
      <c r="P24" s="78"/>
      <c r="Q24" s="78"/>
      <c r="R24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4" s="78"/>
    </row>
    <row r="25" spans="1:19" x14ac:dyDescent="0.25">
      <c r="A25" s="75">
        <v>3</v>
      </c>
      <c r="B25" s="76">
        <v>16</v>
      </c>
      <c r="C25" s="77" t="s">
        <v>115</v>
      </c>
      <c r="D25" s="78" t="s">
        <v>4</v>
      </c>
      <c r="E25" s="79" t="s">
        <v>8</v>
      </c>
      <c r="F25" s="78" t="s">
        <v>78</v>
      </c>
      <c r="G25" s="78" t="s">
        <v>105</v>
      </c>
      <c r="H25" s="96"/>
      <c r="I25" s="78"/>
      <c r="J25" s="78"/>
      <c r="K25" s="78"/>
      <c r="L25" s="78"/>
      <c r="M25" s="78"/>
      <c r="N25" s="78"/>
      <c r="O25" s="78"/>
      <c r="P25" s="78"/>
      <c r="Q25" s="78"/>
      <c r="R25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5" s="78"/>
    </row>
    <row r="26" spans="1:19" ht="31.5" x14ac:dyDescent="0.25">
      <c r="A26" s="75">
        <v>11</v>
      </c>
      <c r="B26" s="76">
        <v>17</v>
      </c>
      <c r="C26" s="77" t="s">
        <v>122</v>
      </c>
      <c r="D26" s="78" t="s">
        <v>4</v>
      </c>
      <c r="E26" s="79" t="s">
        <v>35</v>
      </c>
      <c r="F26" s="78" t="s">
        <v>77</v>
      </c>
      <c r="G26" s="78" t="s">
        <v>105</v>
      </c>
      <c r="H26" s="96"/>
      <c r="I26" s="78"/>
      <c r="J26" s="78"/>
      <c r="K26" s="78"/>
      <c r="L26" s="78"/>
      <c r="M26" s="78"/>
      <c r="N26" s="78"/>
      <c r="O26" s="78"/>
      <c r="P26" s="78"/>
      <c r="Q26" s="78"/>
      <c r="R26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6" s="78"/>
    </row>
    <row r="27" spans="1:19" x14ac:dyDescent="0.25">
      <c r="A27" s="75">
        <v>33</v>
      </c>
      <c r="B27" s="76">
        <v>18</v>
      </c>
      <c r="C27" s="90" t="s">
        <v>133</v>
      </c>
      <c r="D27" s="95" t="s">
        <v>53</v>
      </c>
      <c r="E27" s="87" t="s">
        <v>113</v>
      </c>
      <c r="F27" s="80"/>
      <c r="G27" s="84" t="s">
        <v>105</v>
      </c>
      <c r="H27" s="74">
        <v>49795.98</v>
      </c>
      <c r="I27" s="80"/>
      <c r="J27" s="80"/>
      <c r="K27" s="80"/>
      <c r="L27" s="80"/>
      <c r="M27" s="80"/>
      <c r="N27" s="80"/>
      <c r="O27" s="80"/>
      <c r="P27" s="80"/>
      <c r="Q27" s="80"/>
      <c r="R27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7" s="80"/>
    </row>
    <row r="28" spans="1:19" x14ac:dyDescent="0.25">
      <c r="A28" s="75">
        <v>2</v>
      </c>
      <c r="B28" s="76"/>
      <c r="C28" s="77" t="s">
        <v>139</v>
      </c>
      <c r="D28" s="78" t="s">
        <v>110</v>
      </c>
      <c r="E28" s="79" t="s">
        <v>109</v>
      </c>
      <c r="F28" s="78"/>
      <c r="G28" s="78" t="s">
        <v>106</v>
      </c>
      <c r="H28" s="96"/>
      <c r="I28" s="78"/>
      <c r="J28" s="78"/>
      <c r="K28" s="78"/>
      <c r="L28" s="78"/>
      <c r="M28" s="78"/>
      <c r="N28" s="78"/>
      <c r="O28" s="78"/>
      <c r="P28" s="78"/>
      <c r="Q28" s="78"/>
      <c r="R28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8" s="78"/>
    </row>
    <row r="29" spans="1:19" x14ac:dyDescent="0.25">
      <c r="A29" s="75">
        <v>5</v>
      </c>
      <c r="B29" s="76"/>
      <c r="C29" s="77" t="s">
        <v>117</v>
      </c>
      <c r="D29" s="78" t="s">
        <v>4</v>
      </c>
      <c r="E29" s="79" t="s">
        <v>22</v>
      </c>
      <c r="F29" s="78" t="s">
        <v>77</v>
      </c>
      <c r="G29" s="78" t="s">
        <v>108</v>
      </c>
      <c r="H29" s="96"/>
      <c r="I29" s="78"/>
      <c r="J29" s="78"/>
      <c r="K29" s="78"/>
      <c r="L29" s="78"/>
      <c r="M29" s="78"/>
      <c r="N29" s="78"/>
      <c r="O29" s="78"/>
      <c r="P29" s="78"/>
      <c r="Q29" s="78"/>
      <c r="R29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29" s="78"/>
    </row>
    <row r="30" spans="1:19" x14ac:dyDescent="0.25">
      <c r="A30" s="75">
        <v>6</v>
      </c>
      <c r="B30" s="76"/>
      <c r="C30" s="77" t="s">
        <v>118</v>
      </c>
      <c r="D30" s="78" t="s">
        <v>23</v>
      </c>
      <c r="E30" s="79" t="s">
        <v>24</v>
      </c>
      <c r="F30" s="78"/>
      <c r="G30" s="78" t="s">
        <v>106</v>
      </c>
      <c r="H30" s="96"/>
      <c r="I30" s="78"/>
      <c r="J30" s="78"/>
      <c r="K30" s="78"/>
      <c r="L30" s="78"/>
      <c r="M30" s="78"/>
      <c r="N30" s="78"/>
      <c r="O30" s="78"/>
      <c r="P30" s="78"/>
      <c r="Q30" s="78"/>
      <c r="R30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0" s="78"/>
    </row>
    <row r="31" spans="1:19" x14ac:dyDescent="0.25">
      <c r="A31" s="75">
        <v>7</v>
      </c>
      <c r="B31" s="76"/>
      <c r="C31" s="77" t="s">
        <v>119</v>
      </c>
      <c r="D31" s="78" t="s">
        <v>14</v>
      </c>
      <c r="E31" s="79" t="s">
        <v>26</v>
      </c>
      <c r="F31" s="78" t="s">
        <v>77</v>
      </c>
      <c r="G31" s="78" t="s">
        <v>106</v>
      </c>
      <c r="H31" s="96"/>
      <c r="I31" s="78"/>
      <c r="J31" s="78"/>
      <c r="K31" s="78"/>
      <c r="L31" s="78"/>
      <c r="M31" s="78"/>
      <c r="N31" s="78"/>
      <c r="O31" s="78"/>
      <c r="P31" s="78"/>
      <c r="Q31" s="78"/>
      <c r="R31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1" s="78"/>
    </row>
    <row r="32" spans="1:19" x14ac:dyDescent="0.25">
      <c r="A32" s="75">
        <v>8</v>
      </c>
      <c r="B32" s="76"/>
      <c r="C32" s="77" t="s">
        <v>120</v>
      </c>
      <c r="D32" s="78" t="s">
        <v>4</v>
      </c>
      <c r="E32" s="79" t="s">
        <v>28</v>
      </c>
      <c r="F32" s="78" t="s">
        <v>78</v>
      </c>
      <c r="G32" s="78" t="s">
        <v>107</v>
      </c>
      <c r="H32" s="96"/>
      <c r="I32" s="78"/>
      <c r="J32" s="78"/>
      <c r="K32" s="78"/>
      <c r="L32" s="78"/>
      <c r="M32" s="78"/>
      <c r="N32" s="78"/>
      <c r="O32" s="78"/>
      <c r="P32" s="78"/>
      <c r="Q32" s="78"/>
      <c r="R32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2" s="78"/>
    </row>
    <row r="33" spans="1:19" x14ac:dyDescent="0.25">
      <c r="A33" s="75">
        <v>10</v>
      </c>
      <c r="B33" s="76"/>
      <c r="C33" s="77" t="s">
        <v>121</v>
      </c>
      <c r="D33" s="78" t="s">
        <v>4</v>
      </c>
      <c r="E33" s="79" t="s">
        <v>33</v>
      </c>
      <c r="F33" s="78" t="s">
        <v>78</v>
      </c>
      <c r="G33" s="78" t="s">
        <v>108</v>
      </c>
      <c r="H33" s="96"/>
      <c r="I33" s="78"/>
      <c r="J33" s="78"/>
      <c r="K33" s="78"/>
      <c r="L33" s="78"/>
      <c r="M33" s="78"/>
      <c r="N33" s="78"/>
      <c r="O33" s="78"/>
      <c r="P33" s="78"/>
      <c r="Q33" s="78"/>
      <c r="R33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3" s="78"/>
    </row>
    <row r="34" spans="1:19" x14ac:dyDescent="0.25">
      <c r="A34" s="75">
        <v>12</v>
      </c>
      <c r="B34" s="76"/>
      <c r="C34" s="77" t="s">
        <v>123</v>
      </c>
      <c r="D34" s="78" t="s">
        <v>4</v>
      </c>
      <c r="E34" s="79" t="s">
        <v>24</v>
      </c>
      <c r="F34" s="78" t="s">
        <v>77</v>
      </c>
      <c r="G34" s="78" t="s">
        <v>106</v>
      </c>
      <c r="H34" s="96"/>
      <c r="I34" s="78"/>
      <c r="J34" s="78"/>
      <c r="K34" s="78"/>
      <c r="L34" s="78"/>
      <c r="M34" s="78"/>
      <c r="N34" s="78"/>
      <c r="O34" s="78"/>
      <c r="P34" s="78"/>
      <c r="Q34" s="78"/>
      <c r="R34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4" s="78"/>
    </row>
    <row r="35" spans="1:19" x14ac:dyDescent="0.25">
      <c r="A35" s="75">
        <v>13</v>
      </c>
      <c r="B35" s="76"/>
      <c r="C35" s="82" t="s">
        <v>124</v>
      </c>
      <c r="D35" s="78" t="s">
        <v>4</v>
      </c>
      <c r="E35" s="100"/>
      <c r="F35" s="78" t="s">
        <v>77</v>
      </c>
      <c r="G35" s="78" t="s">
        <v>107</v>
      </c>
      <c r="H35" s="96"/>
      <c r="I35" s="78"/>
      <c r="J35" s="78"/>
      <c r="K35" s="78"/>
      <c r="L35" s="78"/>
      <c r="M35" s="78"/>
      <c r="N35" s="78"/>
      <c r="O35" s="78"/>
      <c r="P35" s="78"/>
      <c r="Q35" s="78"/>
      <c r="R35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5" s="78"/>
    </row>
    <row r="36" spans="1:19" x14ac:dyDescent="0.25">
      <c r="A36" s="75">
        <v>14</v>
      </c>
      <c r="B36" s="76"/>
      <c r="C36" s="77" t="s">
        <v>125</v>
      </c>
      <c r="D36" s="78" t="s">
        <v>4</v>
      </c>
      <c r="E36" s="79" t="s">
        <v>36</v>
      </c>
      <c r="F36" s="78" t="s">
        <v>76</v>
      </c>
      <c r="G36" s="78" t="s">
        <v>106</v>
      </c>
      <c r="H36" s="96"/>
      <c r="I36" s="78"/>
      <c r="J36" s="78"/>
      <c r="K36" s="78"/>
      <c r="L36" s="78"/>
      <c r="M36" s="78"/>
      <c r="N36" s="78"/>
      <c r="O36" s="78"/>
      <c r="P36" s="78"/>
      <c r="Q36" s="78"/>
      <c r="R36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6" s="78"/>
    </row>
    <row r="37" spans="1:19" x14ac:dyDescent="0.25">
      <c r="A37" s="75">
        <v>15</v>
      </c>
      <c r="B37" s="76"/>
      <c r="C37" s="77" t="s">
        <v>126</v>
      </c>
      <c r="D37" s="78" t="s">
        <v>39</v>
      </c>
      <c r="E37" s="79" t="s">
        <v>40</v>
      </c>
      <c r="F37" s="78" t="s">
        <v>76</v>
      </c>
      <c r="G37" s="78" t="s">
        <v>106</v>
      </c>
      <c r="H37" s="101"/>
      <c r="I37" s="102"/>
      <c r="J37" s="102"/>
      <c r="K37" s="102"/>
      <c r="L37" s="102"/>
      <c r="M37" s="102"/>
      <c r="N37" s="102"/>
      <c r="O37" s="102"/>
      <c r="P37" s="102"/>
      <c r="Q37" s="102"/>
      <c r="R37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7" s="102"/>
    </row>
    <row r="38" spans="1:19" x14ac:dyDescent="0.25">
      <c r="A38" s="75">
        <v>16</v>
      </c>
      <c r="B38" s="76"/>
      <c r="C38" s="77" t="s">
        <v>79</v>
      </c>
      <c r="D38" s="78" t="s">
        <v>42</v>
      </c>
      <c r="E38" s="79" t="s">
        <v>43</v>
      </c>
      <c r="F38" s="78" t="s">
        <v>78</v>
      </c>
      <c r="G38" s="78" t="s">
        <v>107</v>
      </c>
      <c r="H38" s="96"/>
      <c r="I38" s="78"/>
      <c r="J38" s="78"/>
      <c r="K38" s="78"/>
      <c r="L38" s="78"/>
      <c r="M38" s="78"/>
      <c r="N38" s="78"/>
      <c r="O38" s="78"/>
      <c r="P38" s="78"/>
      <c r="Q38" s="78"/>
      <c r="R38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8" s="78"/>
    </row>
    <row r="39" spans="1:19" x14ac:dyDescent="0.25">
      <c r="A39" s="75">
        <v>17</v>
      </c>
      <c r="B39" s="76"/>
      <c r="C39" s="77" t="s">
        <v>45</v>
      </c>
      <c r="D39" s="78" t="s">
        <v>46</v>
      </c>
      <c r="E39" s="79" t="s">
        <v>40</v>
      </c>
      <c r="F39" s="78" t="s">
        <v>77</v>
      </c>
      <c r="G39" s="78" t="s">
        <v>106</v>
      </c>
      <c r="H39" s="74"/>
      <c r="I39" s="80"/>
      <c r="J39" s="80"/>
      <c r="K39" s="80"/>
      <c r="L39" s="80"/>
      <c r="M39" s="80"/>
      <c r="N39" s="80"/>
      <c r="O39" s="80"/>
      <c r="P39" s="80"/>
      <c r="Q39" s="80"/>
      <c r="R39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39" s="80"/>
    </row>
    <row r="40" spans="1:19" x14ac:dyDescent="0.25">
      <c r="A40" s="75">
        <v>20</v>
      </c>
      <c r="B40" s="76"/>
      <c r="C40" s="82" t="s">
        <v>49</v>
      </c>
      <c r="D40" s="78"/>
      <c r="E40" s="79"/>
      <c r="F40" s="78" t="s">
        <v>78</v>
      </c>
      <c r="G40" s="78" t="s">
        <v>108</v>
      </c>
      <c r="H40" s="74"/>
      <c r="I40" s="80"/>
      <c r="J40" s="80"/>
      <c r="K40" s="80"/>
      <c r="L40" s="80"/>
      <c r="M40" s="80"/>
      <c r="N40" s="80"/>
      <c r="O40" s="80"/>
      <c r="P40" s="80"/>
      <c r="Q40" s="80"/>
      <c r="R40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0" s="80"/>
    </row>
    <row r="41" spans="1:19" x14ac:dyDescent="0.25">
      <c r="A41" s="75">
        <v>21</v>
      </c>
      <c r="B41" s="76"/>
      <c r="C41" s="82" t="s">
        <v>51</v>
      </c>
      <c r="D41" s="78"/>
      <c r="E41" s="83"/>
      <c r="F41" s="84" t="s">
        <v>77</v>
      </c>
      <c r="G41" s="78" t="s">
        <v>107</v>
      </c>
      <c r="H41" s="74"/>
      <c r="I41" s="80"/>
      <c r="J41" s="80"/>
      <c r="K41" s="80"/>
      <c r="L41" s="80"/>
      <c r="M41" s="80"/>
      <c r="N41" s="80"/>
      <c r="O41" s="80"/>
      <c r="P41" s="80"/>
      <c r="Q41" s="80"/>
      <c r="R41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1" s="80"/>
    </row>
    <row r="42" spans="1:19" x14ac:dyDescent="0.25">
      <c r="A42" s="75">
        <v>23</v>
      </c>
      <c r="B42" s="81"/>
      <c r="C42" s="82" t="s">
        <v>56</v>
      </c>
      <c r="D42" s="78"/>
      <c r="E42" s="83"/>
      <c r="F42" s="84" t="s">
        <v>77</v>
      </c>
      <c r="G42" s="78" t="s">
        <v>107</v>
      </c>
      <c r="H42" s="74"/>
      <c r="I42" s="80"/>
      <c r="J42" s="80"/>
      <c r="K42" s="80"/>
      <c r="L42" s="80"/>
      <c r="M42" s="80"/>
      <c r="N42" s="80"/>
      <c r="O42" s="80"/>
      <c r="P42" s="80"/>
      <c r="Q42" s="80"/>
      <c r="R42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2" s="80"/>
    </row>
    <row r="43" spans="1:19" x14ac:dyDescent="0.25">
      <c r="A43" s="75">
        <v>24</v>
      </c>
      <c r="B43" s="81"/>
      <c r="C43" s="82" t="s">
        <v>98</v>
      </c>
      <c r="D43" s="78"/>
      <c r="E43" s="83"/>
      <c r="F43" s="84" t="s">
        <v>76</v>
      </c>
      <c r="G43" s="78" t="s">
        <v>107</v>
      </c>
      <c r="H43" s="74"/>
      <c r="I43" s="80"/>
      <c r="J43" s="80"/>
      <c r="K43" s="80"/>
      <c r="L43" s="80"/>
      <c r="M43" s="80"/>
      <c r="N43" s="80"/>
      <c r="O43" s="80"/>
      <c r="P43" s="80"/>
      <c r="Q43" s="80"/>
      <c r="R43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3" s="80"/>
    </row>
    <row r="44" spans="1:19" x14ac:dyDescent="0.25">
      <c r="A44" s="75">
        <v>25</v>
      </c>
      <c r="B44" s="81"/>
      <c r="C44" s="82" t="s">
        <v>60</v>
      </c>
      <c r="D44" s="84"/>
      <c r="E44" s="83"/>
      <c r="F44" s="84"/>
      <c r="G44" s="84" t="s">
        <v>106</v>
      </c>
      <c r="H44" s="74"/>
      <c r="I44" s="80"/>
      <c r="J44" s="80"/>
      <c r="K44" s="80"/>
      <c r="L44" s="80"/>
      <c r="M44" s="80"/>
      <c r="N44" s="80"/>
      <c r="O44" s="80"/>
      <c r="P44" s="80"/>
      <c r="Q44" s="80"/>
      <c r="R44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4" s="80"/>
    </row>
    <row r="45" spans="1:19" x14ac:dyDescent="0.25">
      <c r="A45" s="75">
        <v>26</v>
      </c>
      <c r="B45" s="81"/>
      <c r="C45" s="82" t="s">
        <v>127</v>
      </c>
      <c r="D45" s="78" t="s">
        <v>63</v>
      </c>
      <c r="E45" s="83"/>
      <c r="F45" s="84" t="s">
        <v>77</v>
      </c>
      <c r="G45" s="78" t="s">
        <v>107</v>
      </c>
      <c r="H45" s="74"/>
      <c r="I45" s="80"/>
      <c r="J45" s="80"/>
      <c r="K45" s="80"/>
      <c r="L45" s="80"/>
      <c r="M45" s="80"/>
      <c r="N45" s="80"/>
      <c r="O45" s="80"/>
      <c r="P45" s="80"/>
      <c r="Q45" s="80"/>
      <c r="R45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5" s="80"/>
    </row>
    <row r="46" spans="1:19" x14ac:dyDescent="0.25">
      <c r="A46" s="75">
        <v>28</v>
      </c>
      <c r="B46" s="76"/>
      <c r="C46" s="77" t="s">
        <v>146</v>
      </c>
      <c r="D46" s="78"/>
      <c r="E46" s="103"/>
      <c r="F46" s="84" t="s">
        <v>77</v>
      </c>
      <c r="G46" s="84" t="s">
        <v>106</v>
      </c>
      <c r="H46" s="74"/>
      <c r="I46" s="80"/>
      <c r="J46" s="80"/>
      <c r="K46" s="80"/>
      <c r="L46" s="80"/>
      <c r="M46" s="80"/>
      <c r="N46" s="80"/>
      <c r="O46" s="80"/>
      <c r="P46" s="80"/>
      <c r="Q46" s="80"/>
      <c r="R46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6" s="80"/>
    </row>
    <row r="47" spans="1:19" x14ac:dyDescent="0.25">
      <c r="A47" s="75">
        <v>38</v>
      </c>
      <c r="B47" s="76"/>
      <c r="C47" s="90" t="s">
        <v>137</v>
      </c>
      <c r="D47" s="95"/>
      <c r="E47" s="87"/>
      <c r="F47" s="80"/>
      <c r="G47" s="84" t="s">
        <v>108</v>
      </c>
      <c r="H47" s="74"/>
      <c r="I47" s="80"/>
      <c r="J47" s="80"/>
      <c r="K47" s="80"/>
      <c r="L47" s="80"/>
      <c r="M47" s="80"/>
      <c r="N47" s="80"/>
      <c r="O47" s="80"/>
      <c r="P47" s="80"/>
      <c r="Q47" s="80"/>
      <c r="R47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7" s="80"/>
    </row>
    <row r="48" spans="1:19" x14ac:dyDescent="0.25">
      <c r="A48" s="75">
        <v>29</v>
      </c>
      <c r="B48" s="76"/>
      <c r="C48" s="77" t="s">
        <v>143</v>
      </c>
      <c r="D48" s="78"/>
      <c r="E48" s="103"/>
      <c r="F48" s="84" t="s">
        <v>77</v>
      </c>
      <c r="G48" s="84" t="s">
        <v>106</v>
      </c>
      <c r="H48" s="74"/>
      <c r="I48" s="80"/>
      <c r="J48" s="80"/>
      <c r="K48" s="80"/>
      <c r="L48" s="80"/>
      <c r="M48" s="80"/>
      <c r="N48" s="80"/>
      <c r="O48" s="80"/>
      <c r="P48" s="80"/>
      <c r="Q48" s="80"/>
      <c r="R48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8" s="80"/>
    </row>
    <row r="49" spans="1:19" x14ac:dyDescent="0.25">
      <c r="A49" s="75">
        <v>30</v>
      </c>
      <c r="B49" s="76"/>
      <c r="C49" s="90" t="s">
        <v>102</v>
      </c>
      <c r="D49" s="84" t="s">
        <v>62</v>
      </c>
      <c r="E49" s="87" t="s">
        <v>145</v>
      </c>
      <c r="F49" s="80"/>
      <c r="G49" s="84" t="s">
        <v>106</v>
      </c>
      <c r="H49" s="74"/>
      <c r="I49" s="80"/>
      <c r="J49" s="80"/>
      <c r="K49" s="80"/>
      <c r="L49" s="80"/>
      <c r="M49" s="80"/>
      <c r="N49" s="80"/>
      <c r="O49" s="80"/>
      <c r="P49" s="80"/>
      <c r="Q49" s="80"/>
      <c r="R49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49" s="80"/>
    </row>
    <row r="50" spans="1:19" x14ac:dyDescent="0.25">
      <c r="A50" s="88">
        <v>32</v>
      </c>
      <c r="B50" s="89"/>
      <c r="C50" s="104" t="s">
        <v>128</v>
      </c>
      <c r="D50" s="91" t="s">
        <v>53</v>
      </c>
      <c r="E50" s="92" t="s">
        <v>113</v>
      </c>
      <c r="F50" s="93"/>
      <c r="G50" s="84" t="s">
        <v>108</v>
      </c>
      <c r="H50" s="94"/>
      <c r="I50" s="93"/>
      <c r="J50" s="93"/>
      <c r="K50" s="93"/>
      <c r="L50" s="93"/>
      <c r="M50" s="93"/>
      <c r="N50" s="93"/>
      <c r="O50" s="93"/>
      <c r="P50" s="93"/>
      <c r="Q50" s="93"/>
      <c r="R50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50" s="93"/>
    </row>
    <row r="51" spans="1:19" x14ac:dyDescent="0.25">
      <c r="A51" s="75">
        <v>36</v>
      </c>
      <c r="B51" s="76"/>
      <c r="C51" s="90" t="s">
        <v>134</v>
      </c>
      <c r="D51" s="95" t="s">
        <v>53</v>
      </c>
      <c r="E51" s="87" t="s">
        <v>135</v>
      </c>
      <c r="F51" s="80"/>
      <c r="G51" s="84" t="s">
        <v>107</v>
      </c>
      <c r="H51" s="74"/>
      <c r="I51" s="80"/>
      <c r="J51" s="80"/>
      <c r="K51" s="80"/>
      <c r="L51" s="80"/>
      <c r="M51" s="80"/>
      <c r="N51" s="80"/>
      <c r="O51" s="80"/>
      <c r="P51" s="80"/>
      <c r="Q51" s="80"/>
      <c r="R51" s="78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51" s="80"/>
    </row>
    <row r="52" spans="1:19" x14ac:dyDescent="0.25">
      <c r="A52" s="107">
        <v>43</v>
      </c>
      <c r="B52" s="108"/>
      <c r="C52" s="109" t="s">
        <v>209</v>
      </c>
      <c r="D52" s="110" t="s">
        <v>53</v>
      </c>
      <c r="E52" s="111" t="s">
        <v>113</v>
      </c>
      <c r="F52" s="112"/>
      <c r="G52" s="113" t="s">
        <v>105</v>
      </c>
      <c r="H52" s="114"/>
      <c r="I52" s="113"/>
      <c r="J52" s="113"/>
      <c r="K52" s="113"/>
      <c r="L52" s="113"/>
      <c r="M52" s="113"/>
      <c r="N52" s="113"/>
      <c r="O52" s="113"/>
      <c r="P52" s="113"/>
      <c r="Q52" s="113"/>
      <c r="R52" s="115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52" s="112"/>
    </row>
    <row r="53" spans="1:19" x14ac:dyDescent="0.25">
      <c r="A53" s="118">
        <v>44</v>
      </c>
      <c r="B53" s="119"/>
      <c r="C53" s="120" t="s">
        <v>210</v>
      </c>
      <c r="D53" s="121" t="s">
        <v>53</v>
      </c>
      <c r="E53" s="122" t="s">
        <v>113</v>
      </c>
      <c r="F53" s="123"/>
      <c r="G53" s="124" t="s">
        <v>105</v>
      </c>
      <c r="H53" s="125"/>
      <c r="I53" s="124"/>
      <c r="J53" s="124"/>
      <c r="K53" s="124"/>
      <c r="L53" s="124"/>
      <c r="M53" s="124"/>
      <c r="N53" s="124"/>
      <c r="O53" s="124"/>
      <c r="P53" s="124"/>
      <c r="Q53" s="124"/>
      <c r="R53" s="126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53" s="123"/>
    </row>
    <row r="54" spans="1:19" x14ac:dyDescent="0.25">
      <c r="A54" s="118">
        <v>45</v>
      </c>
      <c r="B54" s="119"/>
      <c r="C54" s="120" t="s">
        <v>213</v>
      </c>
      <c r="D54" s="121" t="s">
        <v>53</v>
      </c>
      <c r="E54" s="122" t="s">
        <v>113</v>
      </c>
      <c r="F54" s="123"/>
      <c r="G54" s="124"/>
      <c r="H54" s="125"/>
      <c r="I54" s="124"/>
      <c r="J54" s="124"/>
      <c r="K54" s="124"/>
      <c r="L54" s="124"/>
      <c r="M54" s="124"/>
      <c r="N54" s="124"/>
      <c r="O54" s="124"/>
      <c r="P54" s="124"/>
      <c r="Q54" s="124"/>
      <c r="R54" s="126" t="str">
        <f>IF(SUM(TabelaProjetos[[#This Row],[Beneficio para organização]:[Operacionalização: grau de facilidade]])&lt;&gt;0,SUM(TabelaProjetos[[#This Row],[Beneficio para organização]:[Operacionalização: grau de facilidade]]),"")</f>
        <v/>
      </c>
      <c r="S54" s="123"/>
    </row>
  </sheetData>
  <sheetProtection formatCells="0" formatColumns="0" formatRows="0" insertHyperlinks="0" autoFilter="0"/>
  <mergeCells count="1">
    <mergeCell ref="L7:R7"/>
  </mergeCells>
  <dataValidations count="1">
    <dataValidation type="list" allowBlank="1" showInputMessage="1" showErrorMessage="1" sqref="G52:R1048576 G10:G54">
      <formula1>$G$3:$G$6</formula1>
    </dataValidation>
  </dataValidations>
  <pageMargins left="0.511811024" right="0.511811024" top="0.78740157499999996" bottom="0.78740157499999996" header="0.31496062000000002" footer="0.31496062000000002"/>
  <pageSetup paperSize="9" scale="59" orientation="landscape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063DCAE1-5688-4FB7-9A72-BCCBD4C17466}">
            <xm:f>NOT(ISERROR(SEARCH($G$6,G1)))</xm:f>
            <xm:f>$G$6</xm:f>
            <x14:dxf>
              <font>
                <b/>
                <i/>
                <color theme="6"/>
              </font>
            </x14:dxf>
          </x14:cfRule>
          <x14:cfRule type="containsText" priority="6" operator="containsText" id="{7AEAB782-87A5-410B-9C74-A98B9E0401C8}">
            <xm:f>NOT(ISERROR(SEARCH($G$5,G1)))</xm:f>
            <xm:f>$G$5</xm:f>
            <x14:dxf>
              <font>
                <b/>
                <i val="0"/>
                <color rgb="FF7030A0"/>
              </font>
            </x14:dxf>
          </x14:cfRule>
          <x14:cfRule type="containsText" priority="7" operator="containsText" id="{CA5F7A6B-0AA6-4DC4-BF9C-AFD3535445A0}">
            <xm:f>NOT(ISERROR(SEARCH($G$4,G1)))</xm:f>
            <xm:f>$G$4</xm:f>
            <x14:dxf>
              <font>
                <b/>
                <i val="0"/>
                <color theme="7"/>
              </font>
            </x14:dxf>
          </x14:cfRule>
          <x14:cfRule type="containsText" priority="8" operator="containsText" id="{007499EF-3B8C-4EC3-A486-F59C93B46472}">
            <xm:f>NOT(ISERROR(SEARCH($G$3,G1)))</xm:f>
            <xm:f>$G$3</xm:f>
            <x14:dxf>
              <font>
                <b/>
                <i val="0"/>
                <color theme="9" tint="-0.24994659260841701"/>
              </font>
            </x14:dxf>
          </x14:cfRule>
          <xm:sqref>G11:G51 G8:R9 G7:L7 G1:R6 G52:R1048576</xm:sqref>
        </x14:conditionalFormatting>
        <x14:conditionalFormatting xmlns:xm="http://schemas.microsoft.com/office/excel/2006/main">
          <x14:cfRule type="containsText" priority="1" operator="containsText" id="{55C72C58-1379-455A-88B8-340301BEFB31}">
            <xm:f>NOT(ISERROR(SEARCH($G$6,G10)))</xm:f>
            <xm:f>$G$6</xm:f>
            <x14:dxf>
              <font>
                <b/>
                <i/>
                <color theme="6"/>
              </font>
            </x14:dxf>
          </x14:cfRule>
          <x14:cfRule type="containsText" priority="2" operator="containsText" id="{FDE7177F-DB84-41C4-A77D-B88B7C8FC9A0}">
            <xm:f>NOT(ISERROR(SEARCH($G$5,G10)))</xm:f>
            <xm:f>$G$5</xm:f>
            <x14:dxf>
              <font>
                <b/>
                <i val="0"/>
                <color rgb="FF7030A0"/>
              </font>
            </x14:dxf>
          </x14:cfRule>
          <x14:cfRule type="containsText" priority="3" operator="containsText" id="{B930633F-8987-4231-930E-8526208C0683}">
            <xm:f>NOT(ISERROR(SEARCH($G$4,G10)))</xm:f>
            <xm:f>$G$4</xm:f>
            <x14:dxf>
              <font>
                <b/>
                <i val="0"/>
                <color theme="7"/>
              </font>
            </x14:dxf>
          </x14:cfRule>
          <x14:cfRule type="containsText" priority="4" operator="containsText" id="{4DEC517C-81C2-4AA9-8B2E-32BCA0FC6C0A}">
            <xm:f>NOT(ISERROR(SEARCH($G$3,G10)))</xm:f>
            <xm:f>$G$3</xm:f>
            <x14:dxf>
              <font>
                <b/>
                <i val="0"/>
                <color theme="9" tint="-0.24994659260841701"/>
              </font>
            </x14:dxf>
          </x14:cfRule>
          <xm:sqref>G10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32"/>
  <sheetViews>
    <sheetView workbookViewId="0">
      <selection activeCell="G2" sqref="G2:H2"/>
    </sheetView>
  </sheetViews>
  <sheetFormatPr defaultRowHeight="15" x14ac:dyDescent="0.25"/>
  <cols>
    <col min="1" max="1" width="37.85546875" customWidth="1"/>
    <col min="2" max="2" width="119.140625" customWidth="1"/>
  </cols>
  <sheetData>
    <row r="1" spans="1:2" ht="21" x14ac:dyDescent="0.35">
      <c r="A1" s="149" t="s">
        <v>159</v>
      </c>
      <c r="B1" s="150"/>
    </row>
    <row r="2" spans="1:2" ht="15.75" thickBot="1" x14ac:dyDescent="0.3">
      <c r="A2" s="50" t="s">
        <v>160</v>
      </c>
      <c r="B2" s="50" t="s">
        <v>167</v>
      </c>
    </row>
    <row r="3" spans="1:2" x14ac:dyDescent="0.25">
      <c r="A3" s="146" t="s">
        <v>191</v>
      </c>
      <c r="B3" s="41" t="s">
        <v>192</v>
      </c>
    </row>
    <row r="4" spans="1:2" x14ac:dyDescent="0.25">
      <c r="A4" s="147"/>
      <c r="B4" s="42" t="s">
        <v>193</v>
      </c>
    </row>
    <row r="5" spans="1:2" x14ac:dyDescent="0.25">
      <c r="A5" s="147"/>
      <c r="B5" s="42" t="s">
        <v>194</v>
      </c>
    </row>
    <row r="6" spans="1:2" x14ac:dyDescent="0.25">
      <c r="A6" s="147"/>
      <c r="B6" s="42" t="s">
        <v>195</v>
      </c>
    </row>
    <row r="7" spans="1:2" ht="15.75" thickBot="1" x14ac:dyDescent="0.3">
      <c r="A7" s="148"/>
      <c r="B7" s="43" t="s">
        <v>196</v>
      </c>
    </row>
    <row r="8" spans="1:2" x14ac:dyDescent="0.25">
      <c r="A8" s="147" t="s">
        <v>165</v>
      </c>
      <c r="B8" s="41" t="s">
        <v>161</v>
      </c>
    </row>
    <row r="9" spans="1:2" x14ac:dyDescent="0.25">
      <c r="A9" s="147"/>
      <c r="B9" s="42" t="s">
        <v>162</v>
      </c>
    </row>
    <row r="10" spans="1:2" x14ac:dyDescent="0.25">
      <c r="A10" s="147"/>
      <c r="B10" s="42" t="s">
        <v>163</v>
      </c>
    </row>
    <row r="11" spans="1:2" x14ac:dyDescent="0.25">
      <c r="A11" s="147"/>
      <c r="B11" s="42" t="s">
        <v>164</v>
      </c>
    </row>
    <row r="12" spans="1:2" ht="15.75" thickBot="1" x14ac:dyDescent="0.3">
      <c r="A12" s="148"/>
      <c r="B12" s="43" t="s">
        <v>166</v>
      </c>
    </row>
    <row r="13" spans="1:2" x14ac:dyDescent="0.25">
      <c r="A13" s="146" t="s">
        <v>173</v>
      </c>
      <c r="B13" s="41" t="s">
        <v>168</v>
      </c>
    </row>
    <row r="14" spans="1:2" x14ac:dyDescent="0.25">
      <c r="A14" s="147"/>
      <c r="B14" s="44" t="s">
        <v>172</v>
      </c>
    </row>
    <row r="15" spans="1:2" x14ac:dyDescent="0.25">
      <c r="A15" s="147"/>
      <c r="B15" s="42" t="s">
        <v>169</v>
      </c>
    </row>
    <row r="16" spans="1:2" x14ac:dyDescent="0.25">
      <c r="A16" s="147"/>
      <c r="B16" s="42" t="s">
        <v>170</v>
      </c>
    </row>
    <row r="17" spans="1:2" ht="15.75" thickBot="1" x14ac:dyDescent="0.3">
      <c r="A17" s="148"/>
      <c r="B17" s="43" t="s">
        <v>171</v>
      </c>
    </row>
    <row r="18" spans="1:2" x14ac:dyDescent="0.25">
      <c r="A18" s="146" t="s">
        <v>156</v>
      </c>
      <c r="B18" s="41" t="s">
        <v>174</v>
      </c>
    </row>
    <row r="19" spans="1:2" x14ac:dyDescent="0.25">
      <c r="A19" s="147"/>
      <c r="B19" s="42" t="s">
        <v>175</v>
      </c>
    </row>
    <row r="20" spans="1:2" x14ac:dyDescent="0.25">
      <c r="A20" s="147"/>
      <c r="B20" s="42" t="s">
        <v>176</v>
      </c>
    </row>
    <row r="21" spans="1:2" x14ac:dyDescent="0.25">
      <c r="A21" s="147"/>
      <c r="B21" s="44" t="s">
        <v>178</v>
      </c>
    </row>
    <row r="22" spans="1:2" ht="15.75" thickBot="1" x14ac:dyDescent="0.3">
      <c r="A22" s="148"/>
      <c r="B22" s="43" t="s">
        <v>177</v>
      </c>
    </row>
    <row r="23" spans="1:2" x14ac:dyDescent="0.25">
      <c r="A23" s="146" t="s">
        <v>157</v>
      </c>
      <c r="B23" s="41" t="s">
        <v>179</v>
      </c>
    </row>
    <row r="24" spans="1:2" x14ac:dyDescent="0.25">
      <c r="A24" s="147"/>
      <c r="B24" s="42" t="s">
        <v>180</v>
      </c>
    </row>
    <row r="25" spans="1:2" x14ac:dyDescent="0.25">
      <c r="A25" s="147"/>
      <c r="B25" s="44" t="s">
        <v>182</v>
      </c>
    </row>
    <row r="26" spans="1:2" x14ac:dyDescent="0.25">
      <c r="A26" s="147"/>
      <c r="B26" s="44" t="s">
        <v>183</v>
      </c>
    </row>
    <row r="27" spans="1:2" ht="15.75" thickBot="1" x14ac:dyDescent="0.3">
      <c r="A27" s="148"/>
      <c r="B27" s="45" t="s">
        <v>181</v>
      </c>
    </row>
    <row r="28" spans="1:2" x14ac:dyDescent="0.25">
      <c r="A28" s="146" t="s">
        <v>158</v>
      </c>
      <c r="B28" s="46" t="s">
        <v>184</v>
      </c>
    </row>
    <row r="29" spans="1:2" ht="30" x14ac:dyDescent="0.25">
      <c r="A29" s="147"/>
      <c r="B29" s="44" t="s">
        <v>185</v>
      </c>
    </row>
    <row r="30" spans="1:2" ht="30" x14ac:dyDescent="0.25">
      <c r="A30" s="147"/>
      <c r="B30" s="44" t="s">
        <v>186</v>
      </c>
    </row>
    <row r="31" spans="1:2" x14ac:dyDescent="0.25">
      <c r="A31" s="147"/>
      <c r="B31" s="44" t="s">
        <v>187</v>
      </c>
    </row>
    <row r="32" spans="1:2" ht="30.75" thickBot="1" x14ac:dyDescent="0.3">
      <c r="A32" s="148"/>
      <c r="B32" s="45" t="s">
        <v>188</v>
      </c>
    </row>
  </sheetData>
  <mergeCells count="7">
    <mergeCell ref="A28:A32"/>
    <mergeCell ref="A1:B1"/>
    <mergeCell ref="A8:A12"/>
    <mergeCell ref="A13:A17"/>
    <mergeCell ref="A23:A27"/>
    <mergeCell ref="A18:A22"/>
    <mergeCell ref="A3:A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5"/>
  <sheetViews>
    <sheetView workbookViewId="0">
      <selection activeCell="G2" sqref="G2:H2"/>
    </sheetView>
  </sheetViews>
  <sheetFormatPr defaultRowHeight="15" x14ac:dyDescent="0.25"/>
  <cols>
    <col min="1" max="1" width="22.42578125" style="1" customWidth="1"/>
    <col min="2" max="16384" width="9.140625" style="1"/>
  </cols>
  <sheetData>
    <row r="1" spans="1:2" x14ac:dyDescent="0.25">
      <c r="A1" s="1" t="s">
        <v>80</v>
      </c>
    </row>
    <row r="2" spans="1:2" x14ac:dyDescent="0.25">
      <c r="A2" s="1" t="s">
        <v>81</v>
      </c>
      <c r="B2" s="1">
        <f>COUNTA(Projetos!B:B)-1</f>
        <v>18</v>
      </c>
    </row>
    <row r="3" spans="1:2" x14ac:dyDescent="0.25">
      <c r="A3" s="1" t="s">
        <v>82</v>
      </c>
      <c r="B3" s="1">
        <f>COUNTIF(Projetos!F:F,"SIM")</f>
        <v>4</v>
      </c>
    </row>
    <row r="4" spans="1:2" x14ac:dyDescent="0.25">
      <c r="A4" s="1" t="s">
        <v>83</v>
      </c>
      <c r="B4" s="1">
        <f>COUNTIF(Projetos!F:F,"NÃO")</f>
        <v>12</v>
      </c>
    </row>
    <row r="5" spans="1:2" x14ac:dyDescent="0.25">
      <c r="A5" s="1" t="s">
        <v>84</v>
      </c>
      <c r="B5" s="1">
        <f>B2-B4-B3</f>
        <v>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H29"/>
  <sheetViews>
    <sheetView view="pageBreakPreview" zoomScale="85" zoomScaleNormal="85" zoomScaleSheetLayoutView="85" workbookViewId="0">
      <selection activeCell="G2" sqref="G2:H2"/>
    </sheetView>
  </sheetViews>
  <sheetFormatPr defaultRowHeight="15" x14ac:dyDescent="0.25"/>
  <cols>
    <col min="1" max="1" width="64.140625" style="2" customWidth="1"/>
    <col min="2" max="2" width="17.42578125" style="2" customWidth="1"/>
    <col min="3" max="3" width="21.7109375" style="2" customWidth="1"/>
    <col min="4" max="4" width="36.28515625" style="2" bestFit="1" customWidth="1"/>
    <col min="5" max="6" width="26" style="2" customWidth="1"/>
    <col min="7" max="7" width="12.5703125" style="2" customWidth="1"/>
    <col min="8" max="8" width="12.5703125" style="1" customWidth="1"/>
    <col min="9" max="16384" width="9.140625" style="1"/>
  </cols>
  <sheetData>
    <row r="1" spans="1:8" x14ac:dyDescent="0.25">
      <c r="A1" s="4" t="s">
        <v>92</v>
      </c>
      <c r="B1" s="133" t="s">
        <v>99</v>
      </c>
      <c r="C1" s="143"/>
      <c r="D1" s="134"/>
      <c r="E1" s="133" t="s">
        <v>2</v>
      </c>
      <c r="F1" s="134"/>
      <c r="G1" s="133" t="s">
        <v>95</v>
      </c>
      <c r="H1" s="134"/>
    </row>
    <row r="2" spans="1:8" ht="15.75" thickBot="1" x14ac:dyDescent="0.3">
      <c r="A2" s="3" t="e">
        <f>VLOOKUP($A$3,TabelaProjetos[],COLUMN(A1)+2,0)</f>
        <v>#N/A</v>
      </c>
      <c r="B2" s="135" t="e">
        <f>VLOOKUP($A$3,TabelaProjetos[],COLUMN(B1)+2,0)</f>
        <v>#N/A</v>
      </c>
      <c r="C2" s="144"/>
      <c r="D2" s="136" t="e">
        <f>VLOOKUP($H$29,Projetos!$B$10:$S$54,2,0)</f>
        <v>#N/A</v>
      </c>
      <c r="E2" s="135" t="e">
        <f>VLOOKUP($A$3,TabelaProjetos[],COLUMN(C1)+2,0)</f>
        <v>#N/A</v>
      </c>
      <c r="F2" s="136" t="e">
        <f>VLOOKUP($H$29,Projetos!$B$10:$S$54,2,0)</f>
        <v>#N/A</v>
      </c>
      <c r="G2" s="135" t="e">
        <f>VLOOKUP($A$3,TabelaProjetos[],COLUMN(D1)+2,0)</f>
        <v>#N/A</v>
      </c>
      <c r="H2" s="136" t="e">
        <f>VLOOKUP($H$29,Projetos!$B$10:$S$54,2,0)</f>
        <v>#N/A</v>
      </c>
    </row>
    <row r="3" spans="1:8" x14ac:dyDescent="0.25">
      <c r="A3" s="140" t="s">
        <v>101</v>
      </c>
      <c r="B3" s="141"/>
      <c r="C3" s="141"/>
      <c r="D3" s="141"/>
      <c r="E3" s="141"/>
      <c r="F3" s="141"/>
      <c r="G3" s="141"/>
      <c r="H3" s="142"/>
    </row>
    <row r="4" spans="1:8" x14ac:dyDescent="0.25">
      <c r="A4" s="10" t="s">
        <v>85</v>
      </c>
      <c r="B4" s="11" t="s">
        <v>86</v>
      </c>
      <c r="C4" s="11" t="s">
        <v>205</v>
      </c>
      <c r="D4" s="11" t="s">
        <v>87</v>
      </c>
      <c r="E4" s="11" t="s">
        <v>89</v>
      </c>
      <c r="F4" s="11" t="s">
        <v>90</v>
      </c>
      <c r="G4" s="11" t="s">
        <v>88</v>
      </c>
      <c r="H4" s="11" t="s">
        <v>91</v>
      </c>
    </row>
    <row r="5" spans="1:8" x14ac:dyDescent="0.25">
      <c r="A5" s="20"/>
      <c r="B5" s="8"/>
      <c r="C5" s="53"/>
      <c r="D5" s="8"/>
      <c r="E5" s="9"/>
      <c r="F5" s="9"/>
      <c r="G5" s="9"/>
      <c r="H5" s="9"/>
    </row>
    <row r="6" spans="1:8" x14ac:dyDescent="0.25">
      <c r="A6" s="20"/>
      <c r="B6" s="8"/>
      <c r="C6" s="53"/>
      <c r="D6" s="8"/>
      <c r="E6" s="8"/>
      <c r="F6" s="8"/>
      <c r="G6" s="8"/>
      <c r="H6" s="8"/>
    </row>
    <row r="7" spans="1:8" x14ac:dyDescent="0.25">
      <c r="A7" s="20"/>
      <c r="B7" s="19"/>
      <c r="C7" s="53"/>
      <c r="D7" s="8"/>
      <c r="E7" s="8"/>
      <c r="F7" s="8"/>
      <c r="G7" s="8"/>
      <c r="H7" s="8"/>
    </row>
    <row r="8" spans="1:8" x14ac:dyDescent="0.25">
      <c r="A8" s="20"/>
      <c r="B8" s="8"/>
      <c r="C8" s="53"/>
      <c r="D8" s="8"/>
      <c r="E8" s="8"/>
      <c r="F8" s="8"/>
      <c r="G8" s="8"/>
      <c r="H8" s="8"/>
    </row>
    <row r="9" spans="1:8" x14ac:dyDescent="0.25">
      <c r="A9" s="20"/>
      <c r="B9" s="19"/>
      <c r="C9" s="53"/>
      <c r="D9" s="8"/>
      <c r="E9" s="8"/>
      <c r="F9" s="8"/>
      <c r="G9" s="8"/>
      <c r="H9" s="8"/>
    </row>
    <row r="10" spans="1:8" x14ac:dyDescent="0.25">
      <c r="A10" s="20"/>
      <c r="B10" s="8"/>
      <c r="C10" s="53"/>
      <c r="D10" s="8"/>
      <c r="E10" s="8"/>
      <c r="F10" s="8"/>
      <c r="G10" s="8"/>
      <c r="H10" s="8"/>
    </row>
    <row r="11" spans="1:8" x14ac:dyDescent="0.25">
      <c r="A11" s="20"/>
      <c r="B11" s="8"/>
      <c r="C11" s="53"/>
      <c r="D11" s="8"/>
      <c r="E11" s="8"/>
      <c r="F11" s="8"/>
      <c r="G11" s="8"/>
      <c r="H11" s="8"/>
    </row>
    <row r="12" spans="1:8" x14ac:dyDescent="0.25">
      <c r="A12" s="20"/>
      <c r="B12" s="8"/>
      <c r="C12" s="53"/>
      <c r="D12" s="8"/>
      <c r="E12" s="8"/>
      <c r="F12" s="8"/>
      <c r="G12" s="8"/>
      <c r="H12" s="8"/>
    </row>
    <row r="13" spans="1:8" x14ac:dyDescent="0.25">
      <c r="A13" s="20"/>
      <c r="B13" s="8"/>
      <c r="C13" s="53"/>
      <c r="D13" s="8"/>
      <c r="E13" s="8"/>
      <c r="F13" s="8"/>
      <c r="G13" s="8"/>
      <c r="H13" s="8"/>
    </row>
    <row r="14" spans="1:8" x14ac:dyDescent="0.25">
      <c r="A14" s="20"/>
      <c r="B14" s="8"/>
      <c r="C14" s="53"/>
      <c r="D14" s="8"/>
      <c r="E14" s="8"/>
      <c r="F14" s="8"/>
      <c r="G14" s="8"/>
      <c r="H14" s="8"/>
    </row>
    <row r="15" spans="1:8" x14ac:dyDescent="0.25">
      <c r="A15" s="20"/>
      <c r="B15" s="8"/>
      <c r="C15" s="53"/>
      <c r="D15" s="8"/>
      <c r="E15" s="8"/>
      <c r="F15" s="8"/>
      <c r="G15" s="8"/>
      <c r="H15" s="8"/>
    </row>
    <row r="16" spans="1:8" x14ac:dyDescent="0.25">
      <c r="A16" s="20"/>
      <c r="B16" s="8"/>
      <c r="C16" s="53"/>
      <c r="D16" s="8"/>
      <c r="E16" s="8"/>
      <c r="F16" s="8"/>
      <c r="G16" s="8"/>
      <c r="H16" s="8"/>
    </row>
    <row r="17" spans="1:8" x14ac:dyDescent="0.25">
      <c r="A17" s="20"/>
      <c r="B17" s="8"/>
      <c r="C17" s="53"/>
      <c r="D17" s="8"/>
      <c r="E17" s="8"/>
      <c r="F17" s="8"/>
      <c r="G17" s="8"/>
      <c r="H17" s="8"/>
    </row>
    <row r="18" spans="1:8" x14ac:dyDescent="0.25">
      <c r="A18" s="20"/>
      <c r="B18" s="8"/>
      <c r="C18" s="53"/>
      <c r="D18" s="8"/>
      <c r="E18" s="8"/>
      <c r="F18" s="8"/>
      <c r="G18" s="8"/>
      <c r="H18" s="8"/>
    </row>
    <row r="19" spans="1:8" x14ac:dyDescent="0.25">
      <c r="A19" s="20"/>
      <c r="B19" s="8"/>
      <c r="C19" s="53"/>
      <c r="D19" s="8"/>
      <c r="E19" s="8"/>
      <c r="F19" s="8"/>
      <c r="G19" s="8"/>
      <c r="H19" s="8"/>
    </row>
    <row r="20" spans="1:8" x14ac:dyDescent="0.25">
      <c r="A20" s="20"/>
      <c r="B20" s="8"/>
      <c r="C20" s="53"/>
      <c r="D20" s="8"/>
      <c r="E20" s="8"/>
      <c r="F20" s="8"/>
      <c r="G20" s="8"/>
      <c r="H20" s="8"/>
    </row>
    <row r="21" spans="1:8" x14ac:dyDescent="0.25">
      <c r="A21" s="20"/>
      <c r="B21" s="8"/>
      <c r="C21" s="53"/>
      <c r="D21" s="8"/>
      <c r="E21" s="8"/>
      <c r="F21" s="8"/>
      <c r="G21" s="8"/>
      <c r="H21" s="8"/>
    </row>
    <row r="22" spans="1:8" x14ac:dyDescent="0.25">
      <c r="A22" s="20"/>
      <c r="B22" s="8"/>
      <c r="C22" s="53"/>
      <c r="D22" s="8"/>
      <c r="E22" s="8"/>
      <c r="F22" s="8"/>
      <c r="G22" s="8"/>
      <c r="H22" s="8"/>
    </row>
    <row r="23" spans="1:8" x14ac:dyDescent="0.25">
      <c r="A23" s="20"/>
      <c r="B23" s="8"/>
      <c r="C23" s="53"/>
      <c r="D23" s="8"/>
      <c r="E23" s="8"/>
      <c r="F23" s="8"/>
      <c r="G23" s="8"/>
      <c r="H23" s="8"/>
    </row>
    <row r="24" spans="1:8" x14ac:dyDescent="0.25">
      <c r="A24" s="20"/>
      <c r="B24" s="8"/>
      <c r="C24" s="53"/>
      <c r="D24" s="8"/>
      <c r="E24" s="8"/>
      <c r="F24" s="8"/>
      <c r="G24" s="8"/>
      <c r="H24" s="8"/>
    </row>
    <row r="25" spans="1:8" ht="15.75" thickBot="1" x14ac:dyDescent="0.3">
      <c r="A25" s="21"/>
      <c r="B25" s="18"/>
      <c r="C25" s="72"/>
      <c r="D25" s="18"/>
      <c r="E25" s="18"/>
      <c r="F25" s="18"/>
      <c r="G25" s="18"/>
      <c r="H25" s="18"/>
    </row>
    <row r="26" spans="1:8" ht="15.75" thickBot="1" x14ac:dyDescent="0.3">
      <c r="A26" s="61" t="s">
        <v>207</v>
      </c>
      <c r="B26" s="62"/>
      <c r="C26" s="73">
        <f>SUM($C$5:$C$25)</f>
        <v>0</v>
      </c>
      <c r="D26" s="62"/>
      <c r="E26" s="62"/>
      <c r="F26" s="62"/>
      <c r="G26" s="62"/>
      <c r="H26" s="63"/>
    </row>
    <row r="27" spans="1:8" x14ac:dyDescent="0.25">
      <c r="A27" s="13" t="s">
        <v>97</v>
      </c>
      <c r="B27" s="14"/>
      <c r="C27" s="14"/>
      <c r="D27" s="14"/>
      <c r="E27" s="14"/>
      <c r="F27" s="14"/>
      <c r="G27" s="14"/>
      <c r="H27" s="15"/>
    </row>
    <row r="28" spans="1:8" x14ac:dyDescent="0.25">
      <c r="A28" s="127"/>
      <c r="B28" s="128"/>
      <c r="C28" s="128"/>
      <c r="D28" s="128"/>
      <c r="E28" s="128"/>
      <c r="F28" s="128"/>
      <c r="G28" s="128"/>
      <c r="H28" s="129"/>
    </row>
    <row r="29" spans="1:8" ht="15.75" thickBot="1" x14ac:dyDescent="0.3">
      <c r="A29" s="130"/>
      <c r="B29" s="131"/>
      <c r="C29" s="131"/>
      <c r="D29" s="131"/>
      <c r="E29" s="131"/>
      <c r="F29" s="131"/>
      <c r="G29" s="131"/>
      <c r="H29" s="132"/>
    </row>
  </sheetData>
  <mergeCells count="8">
    <mergeCell ref="A28:H29"/>
    <mergeCell ref="A3:H3"/>
    <mergeCell ref="B1:D1"/>
    <mergeCell ref="E1:F1"/>
    <mergeCell ref="G1:H1"/>
    <mergeCell ref="B2:D2"/>
    <mergeCell ref="E2:F2"/>
    <mergeCell ref="G2:H2"/>
  </mergeCells>
  <pageMargins left="0.511811024" right="0.511811024" top="0.78740157499999996" bottom="0.78740157499999996" header="0.31496062000000002" footer="0.31496062000000002"/>
  <pageSetup paperSize="9" scale="3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48</vt:i4>
      </vt:variant>
      <vt:variant>
        <vt:lpstr>Intervalos nomeados</vt:lpstr>
      </vt:variant>
      <vt:variant>
        <vt:i4>45</vt:i4>
      </vt:variant>
    </vt:vector>
  </HeadingPairs>
  <TitlesOfParts>
    <vt:vector size="93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39</vt:lpstr>
      <vt:lpstr>40</vt:lpstr>
      <vt:lpstr>41</vt:lpstr>
      <vt:lpstr>42</vt:lpstr>
      <vt:lpstr>43</vt:lpstr>
      <vt:lpstr>44</vt:lpstr>
      <vt:lpstr>45</vt:lpstr>
      <vt:lpstr>Projetos</vt:lpstr>
      <vt:lpstr>Matriz Basico</vt:lpstr>
      <vt:lpstr>Dashboard</vt:lpstr>
      <vt:lpstr>MODELO</vt:lpstr>
      <vt:lpstr>'1'!Area_de_impressao</vt:lpstr>
      <vt:lpstr>'10'!Area_de_impressao</vt:lpstr>
      <vt:lpstr>'11'!Area_de_impressao</vt:lpstr>
      <vt:lpstr>'12'!Area_de_impressao</vt:lpstr>
      <vt:lpstr>'13'!Area_de_impressao</vt:lpstr>
      <vt:lpstr>'14'!Area_de_impressao</vt:lpstr>
      <vt:lpstr>'15'!Area_de_impressao</vt:lpstr>
      <vt:lpstr>'16'!Area_de_impressao</vt:lpstr>
      <vt:lpstr>'17'!Area_de_impressao</vt:lpstr>
      <vt:lpstr>'18'!Area_de_impressao</vt:lpstr>
      <vt:lpstr>'19'!Area_de_impressao</vt:lpstr>
      <vt:lpstr>'2'!Area_de_impressao</vt:lpstr>
      <vt:lpstr>'20'!Area_de_impressao</vt:lpstr>
      <vt:lpstr>'21'!Area_de_impressao</vt:lpstr>
      <vt:lpstr>'22'!Area_de_impressao</vt:lpstr>
      <vt:lpstr>'23'!Area_de_impressao</vt:lpstr>
      <vt:lpstr>'24'!Area_de_impressao</vt:lpstr>
      <vt:lpstr>'25'!Area_de_impressao</vt:lpstr>
      <vt:lpstr>'26'!Area_de_impressao</vt:lpstr>
      <vt:lpstr>'27'!Area_de_impressao</vt:lpstr>
      <vt:lpstr>'28'!Area_de_impressao</vt:lpstr>
      <vt:lpstr>'29'!Area_de_impressao</vt:lpstr>
      <vt:lpstr>'3'!Area_de_impressao</vt:lpstr>
      <vt:lpstr>'30'!Area_de_impressao</vt:lpstr>
      <vt:lpstr>'31'!Area_de_impressao</vt:lpstr>
      <vt:lpstr>'32'!Area_de_impressao</vt:lpstr>
      <vt:lpstr>'33'!Area_de_impressao</vt:lpstr>
      <vt:lpstr>'34'!Area_de_impressao</vt:lpstr>
      <vt:lpstr>'35'!Area_de_impressao</vt:lpstr>
      <vt:lpstr>'36'!Area_de_impressao</vt:lpstr>
      <vt:lpstr>'37'!Area_de_impressao</vt:lpstr>
      <vt:lpstr>'39'!Area_de_impressao</vt:lpstr>
      <vt:lpstr>'4'!Area_de_impressao</vt:lpstr>
      <vt:lpstr>'40'!Area_de_impressao</vt:lpstr>
      <vt:lpstr>'41'!Area_de_impressao</vt:lpstr>
      <vt:lpstr>'42'!Area_de_impressao</vt:lpstr>
      <vt:lpstr>'43'!Area_de_impressao</vt:lpstr>
      <vt:lpstr>'44'!Area_de_impressao</vt:lpstr>
      <vt:lpstr>'45'!Area_de_impressao</vt:lpstr>
      <vt:lpstr>'5'!Area_de_impressao</vt:lpstr>
      <vt:lpstr>'6'!Area_de_impressao</vt:lpstr>
      <vt:lpstr>'7'!Area_de_impressao</vt:lpstr>
      <vt:lpstr>'8'!Area_de_impressao</vt:lpstr>
      <vt:lpstr>'9'!Area_de_impressao</vt:lpstr>
      <vt:lpstr>MODELO!Area_de_impressao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Shimote</dc:creator>
  <cp:lastModifiedBy>TORK-000953</cp:lastModifiedBy>
  <cp:lastPrinted>2022-01-31T19:21:11Z</cp:lastPrinted>
  <dcterms:created xsi:type="dcterms:W3CDTF">2022-01-20T10:13:34Z</dcterms:created>
  <dcterms:modified xsi:type="dcterms:W3CDTF">2022-07-13T10:15:01Z</dcterms:modified>
</cp:coreProperties>
</file>